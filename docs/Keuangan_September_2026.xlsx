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stimasi" sheetId="2" r:id="rId6"/>
    <sheet state="visible" name="Rincian" sheetId="3" r:id="rId7"/>
  </sheets>
  <definedNames/>
  <calcPr/>
</workbook>
</file>

<file path=xl/sharedStrings.xml><?xml version="1.0" encoding="utf-8"?>
<sst xmlns="http://schemas.openxmlformats.org/spreadsheetml/2006/main" count="117" uniqueCount="59">
  <si>
    <t>Sumber Dana</t>
  </si>
  <si>
    <t>KEUANGAN AGUSTUS 2026</t>
  </si>
  <si>
    <t>Ringkasan Keuangan</t>
  </si>
  <si>
    <t>Pembagian</t>
  </si>
  <si>
    <t>Pengeluaran</t>
  </si>
  <si>
    <t>Total Alokasi</t>
  </si>
  <si>
    <t>Total Realisasi</t>
  </si>
  <si>
    <t>Sisa Alokasi</t>
  </si>
  <si>
    <t>Estimasi</t>
  </si>
  <si>
    <t>Budget</t>
  </si>
  <si>
    <t>Makan</t>
  </si>
  <si>
    <t>Need</t>
  </si>
  <si>
    <t>KONDISI PER PEMBAGIAN</t>
  </si>
  <si>
    <t>Realisasi</t>
  </si>
  <si>
    <t>Sisa</t>
  </si>
  <si>
    <t>Status</t>
  </si>
  <si>
    <t>Tanggal</t>
  </si>
  <si>
    <t>Nominal</t>
  </si>
  <si>
    <t>Sisa Budget</t>
  </si>
  <si>
    <t>Keterangan</t>
  </si>
  <si>
    <t>ESTIMASI VS REALISASI</t>
  </si>
  <si>
    <t>Selisih</t>
  </si>
  <si>
    <t>%</t>
  </si>
  <si>
    <t>Gaji</t>
  </si>
  <si>
    <t>Green tea 2x</t>
  </si>
  <si>
    <t>Need (50%)</t>
  </si>
  <si>
    <t>Makan (40k/hari)</t>
  </si>
  <si>
    <t>Bensin</t>
  </si>
  <si>
    <t>Fun</t>
  </si>
  <si>
    <t>Kuota</t>
  </si>
  <si>
    <t>Saving</t>
  </si>
  <si>
    <t>BPJS</t>
  </si>
  <si>
    <t>Emergency</t>
  </si>
  <si>
    <t>Laundry</t>
  </si>
  <si>
    <t>Kopi</t>
  </si>
  <si>
    <t>skincare</t>
  </si>
  <si>
    <t>Total</t>
  </si>
  <si>
    <t>lainnya</t>
  </si>
  <si>
    <t>KESIMPULAN BULANAN</t>
  </si>
  <si>
    <t>Jajan</t>
  </si>
  <si>
    <t>Fun (30%)</t>
  </si>
  <si>
    <t>Pertalite</t>
  </si>
  <si>
    <t>Saving (20%)</t>
  </si>
  <si>
    <t>Total Pengeluaran (estimasi)</t>
  </si>
  <si>
    <t>Total Uang Sisa (estimasi)</t>
  </si>
  <si>
    <t>green tea</t>
  </si>
  <si>
    <t>Masker</t>
  </si>
  <si>
    <t>Aqua</t>
  </si>
  <si>
    <t>Makan siang</t>
  </si>
  <si>
    <t>Es Teh</t>
  </si>
  <si>
    <t>Makan Malam</t>
  </si>
  <si>
    <t>Es Jeruk</t>
  </si>
  <si>
    <t>Le Mineral 1.5 L</t>
  </si>
  <si>
    <t>Milku Marie</t>
  </si>
  <si>
    <t>Sarapan</t>
  </si>
  <si>
    <t>Makan Siang</t>
  </si>
  <si>
    <t>Paket Internet 3 hari unlimited</t>
  </si>
  <si>
    <t>Baju running set</t>
  </si>
  <si>
    <t>Seragam teller bca bahan enak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</si>
</sst>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dd\/mm\/yyyy"/>
  </numFmts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1.0"/>
      <color theme="1"/>
      <name val="Arial"/>
    </font>
    <font>
      <b/>
      <sz val="11.0"/>
      <color theme="0"/>
      <name val="Arial"/>
    </font>
    <font>
      <sz val="11.0"/>
      <color theme="1"/>
      <name val="Arial"/>
    </font>
    <font>
      <sz val="11.0"/>
      <color rgb="FF006100"/>
      <name val="Arial"/>
    </font>
  </fonts>
  <fills count="10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6EFCE"/>
      </left>
      <right style="thin">
        <color rgb="FFC6EFCE"/>
      </right>
      <top style="thin">
        <color rgb="FFC6EFCE"/>
      </top>
      <bottom style="thin">
        <color rgb="FFC6EFCE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bottom" wrapText="0"/>
    </xf>
    <xf borderId="3" fillId="0" fontId="2" numFmtId="0" xfId="0" applyBorder="1" applyFont="1"/>
    <xf borderId="1" fillId="4" fontId="4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0" fontId="3" numFmtId="0" xfId="0" applyAlignment="1" applyFont="1">
      <alignment horizontal="right" shrinkToFit="0" vertical="bottom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right" shrinkToFit="0" vertical="bottom" wrapText="0"/>
    </xf>
    <xf borderId="4" fillId="4" fontId="4" numFmtId="0" xfId="0" applyAlignment="1" applyBorder="1" applyFill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center" wrapText="0"/>
    </xf>
    <xf borderId="4" fillId="0" fontId="5" numFmtId="164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center" wrapText="0"/>
    </xf>
    <xf borderId="0" fillId="0" fontId="5" numFmtId="165" xfId="0" applyAlignment="1" applyFont="1" applyNumberForma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5" numFmtId="164" xfId="0" applyAlignment="1" applyFont="1" applyNumberFormat="1">
      <alignment readingOrder="0" shrinkToFit="0" vertical="bottom" wrapText="0"/>
    </xf>
    <xf borderId="4" fillId="0" fontId="5" numFmtId="9" xfId="0" applyAlignment="1" applyBorder="1" applyFont="1" applyNumberFormat="1">
      <alignment horizontal="center" shrinkToFit="0" vertical="center" wrapText="0"/>
    </xf>
    <xf borderId="5" fillId="5" fontId="3" numFmtId="164" xfId="0" applyAlignment="1" applyBorder="1" applyFill="1" applyFont="1" applyNumberFormat="1">
      <alignment horizontal="center" shrinkToFit="0" vertical="center" wrapText="0"/>
    </xf>
    <xf borderId="5" fillId="5" fontId="5" numFmtId="164" xfId="0" applyAlignment="1" applyBorder="1" applyFill="1" applyFont="1" applyNumberFormat="1">
      <alignment readingOrder="0" shrinkToFit="0" vertical="center" wrapText="0"/>
    </xf>
    <xf borderId="5" fillId="5" fontId="5" numFmtId="0" xfId="0" applyAlignment="1" applyBorder="1" applyFill="1" applyFont="1">
      <alignment shrinkToFit="0" vertical="center" wrapText="0"/>
    </xf>
    <xf borderId="5" fillId="5" fontId="5" numFmtId="164" xfId="0" applyAlignment="1" applyBorder="1" applyFill="1" applyFont="1" applyNumberFormat="1">
      <alignment shrinkToFit="0" vertical="center" wrapText="0"/>
    </xf>
    <xf borderId="4" fillId="5" fontId="5" numFmtId="0" xfId="0" applyAlignment="1" applyBorder="1" applyFill="1" applyFont="1">
      <alignment shrinkToFit="0" vertical="bottom" wrapText="0"/>
    </xf>
    <xf borderId="4" fillId="5" fontId="5" numFmtId="164" xfId="0" applyAlignment="1" applyBorder="1" applyFill="1" applyFont="1" applyNumberFormat="1">
      <alignment shrinkToFit="0" vertical="bottom" wrapText="0"/>
    </xf>
    <xf borderId="6" fillId="0" fontId="2" numFmtId="0" xfId="0" applyBorder="1" applyFont="1"/>
    <xf borderId="0" fillId="0" fontId="5" numFmtId="164" xfId="0" applyAlignment="1" applyFont="1" applyNumberFormat="1">
      <alignment shrinkToFit="0" vertical="bottom" wrapText="0"/>
    </xf>
    <xf borderId="4" fillId="5" fontId="3" numFmtId="0" xfId="0" applyAlignment="1" applyBorder="1" applyFill="1" applyFont="1">
      <alignment shrinkToFit="0" vertical="bottom" wrapText="0"/>
    </xf>
    <xf borderId="7" fillId="0" fontId="2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left" shrinkToFit="0" vertical="bottom" wrapText="0"/>
    </xf>
    <xf borderId="4" fillId="5" fontId="5" numFmtId="164" xfId="0" applyAlignment="1" applyBorder="1" applyFill="1" applyFont="1" applyNumberFormat="1">
      <alignment horizontal="center" shrinkToFit="0" vertical="bottom" wrapText="0"/>
    </xf>
    <xf borderId="4" fillId="5" fontId="3" numFmtId="0" xfId="0" applyAlignment="1" applyBorder="1" applyFill="1" applyFont="1">
      <alignment horizontal="left" shrinkToFit="0" vertical="bottom" wrapText="0"/>
    </xf>
    <xf borderId="1" fillId="6" fontId="3" numFmtId="0" xfId="0" applyAlignment="1" applyBorder="1" applyFill="1" applyFont="1">
      <alignment horizontal="center" shrinkToFit="0" vertical="bottom" wrapText="0"/>
    </xf>
    <xf borderId="4" fillId="6" fontId="3" numFmtId="164" xfId="0" applyAlignment="1" applyBorder="1" applyFill="1" applyFont="1" applyNumberFormat="1">
      <alignment shrinkToFit="0" vertical="bottom" wrapText="0"/>
    </xf>
    <xf borderId="8" fillId="7" fontId="5" numFmtId="165" xfId="0" applyAlignment="1" applyBorder="1" applyFill="1" applyFont="1" applyNumberFormat="1">
      <alignment horizontal="right" shrinkToFit="0" vertical="bottom" wrapText="0"/>
    </xf>
    <xf borderId="9" fillId="7" fontId="5" numFmtId="0" xfId="0" applyAlignment="1" applyBorder="1" applyFill="1" applyFont="1">
      <alignment shrinkToFit="0" vertical="bottom" wrapText="0"/>
    </xf>
    <xf borderId="9" fillId="7" fontId="5" numFmtId="0" xfId="0" applyAlignment="1" applyBorder="1" applyFill="1" applyFont="1">
      <alignment shrinkToFit="0" vertical="bottom" wrapText="0"/>
    </xf>
    <xf borderId="9" fillId="7" fontId="5" numFmtId="164" xfId="0" applyAlignment="1" applyBorder="1" applyFill="1" applyFont="1" applyNumberFormat="1">
      <alignment horizontal="right" shrinkToFit="0" vertical="bottom" wrapText="0"/>
    </xf>
    <xf borderId="9" fillId="7" fontId="5" numFmtId="164" xfId="0" applyAlignment="1" applyBorder="1" applyFill="1" applyFont="1" applyNumberFormat="1">
      <alignment horizontal="right" readingOrder="0" shrinkToFit="0" vertical="bottom" wrapText="0"/>
    </xf>
    <xf borderId="10" fillId="8" fontId="6" numFmtId="0" xfId="0" applyAlignment="1" applyBorder="1" applyFill="1" applyFont="1">
      <alignment shrinkToFit="0" vertical="bottom" wrapText="0"/>
    </xf>
    <xf borderId="11" fillId="7" fontId="5" numFmtId="0" xfId="0" applyAlignment="1" applyBorder="1" applyFill="1" applyFont="1">
      <alignment readingOrder="0" shrinkToFit="0" vertical="bottom" wrapText="0"/>
    </xf>
    <xf borderId="8" fillId="7" fontId="5" numFmtId="165" xfId="0" applyAlignment="1" applyBorder="1" applyFill="1" applyFont="1" applyNumberFormat="1">
      <alignment horizontal="right" readingOrder="0" shrinkToFit="0" vertical="bottom" wrapText="0"/>
    </xf>
    <xf borderId="9" fillId="7" fontId="5" numFmtId="0" xfId="0" applyAlignment="1" applyBorder="1" applyFill="1" applyFont="1">
      <alignment readingOrder="0" shrinkToFit="0" vertical="bottom" wrapText="0"/>
    </xf>
    <xf borderId="12" fillId="9" fontId="5" numFmtId="165" xfId="0" applyAlignment="1" applyBorder="1" applyFill="1" applyFont="1" applyNumberFormat="1">
      <alignment horizontal="right" readingOrder="0" shrinkToFit="0" vertical="bottom" wrapText="0"/>
    </xf>
    <xf borderId="0" fillId="0" fontId="5" numFmtId="165" xfId="0" applyAlignment="1" applyFont="1" applyNumberFormat="1">
      <alignment shrinkToFit="0" vertical="bottom" wrapText="0"/>
    </xf>
    <xf borderId="0" fillId="0" fontId="5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1">
    <tableStyle count="4" pivot="0" name="Rinci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01" displayName="Daftar_Transaksi" name="Daftar_Transaksi" id="1">
  <tableColumns count="8">
    <tableColumn name="Tanggal" id="1"/>
    <tableColumn name="Pengeluaran" id="2"/>
    <tableColumn name="Pembagian" id="3"/>
    <tableColumn name="Budget" id="4"/>
    <tableColumn name="Nominal" id="5"/>
    <tableColumn name="Sisa Budget" id="6"/>
    <tableColumn name="Status" id="7"/>
    <tableColumn name="Keterangan" id="8"/>
  </tableColumns>
  <tableStyleInfo name="Rinci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4.0"/>
    <col customWidth="1" min="3" max="5" width="15.0"/>
    <col customWidth="1" min="6" max="6" width="16.0"/>
  </cols>
  <sheetData>
    <row r="1" ht="19.5" customHeight="1">
      <c r="A1" s="1" t="s">
        <v>1</v>
      </c>
      <c r="B1" s="2"/>
      <c r="C1" s="2"/>
      <c r="D1" s="2"/>
      <c r="E1" s="2"/>
      <c r="F1" s="4"/>
    </row>
    <row r="2" ht="19.5" customHeight="1">
      <c r="A2" s="1" t="s">
        <v>2</v>
      </c>
      <c r="B2" s="2"/>
      <c r="C2" s="2"/>
      <c r="D2" s="2"/>
      <c r="E2" s="2"/>
      <c r="F2" s="4"/>
    </row>
    <row r="3" ht="15.75" customHeight="1">
      <c r="A3" s="5" t="s">
        <v>5</v>
      </c>
      <c r="B3" s="4"/>
      <c r="C3" s="5" t="s">
        <v>6</v>
      </c>
      <c r="D3" s="4"/>
      <c r="E3" s="5" t="s">
        <v>7</v>
      </c>
      <c r="F3" s="4"/>
    </row>
    <row r="4" ht="15.75" customHeight="1">
      <c r="A4" s="10">
        <f>Estimasi!B3</f>
        <v>3971362</v>
      </c>
      <c r="B4" s="4"/>
      <c r="C4" s="10">
        <f>SUM(Rincian!E2:E1001)</f>
        <v>534700</v>
      </c>
      <c r="D4" s="4"/>
      <c r="E4" s="10">
        <f>A4-C4</f>
        <v>3436662</v>
      </c>
      <c r="F4" s="4"/>
    </row>
    <row r="5" ht="7.5" customHeight="1">
      <c r="A5" s="6"/>
      <c r="B5" s="11"/>
      <c r="C5" s="11"/>
      <c r="D5" s="11"/>
      <c r="E5" s="11"/>
      <c r="F5" s="11"/>
    </row>
    <row r="6" ht="19.5" customHeight="1">
      <c r="A6" s="1" t="s">
        <v>12</v>
      </c>
      <c r="B6" s="2"/>
      <c r="C6" s="2"/>
      <c r="D6" s="2"/>
      <c r="E6" s="2"/>
      <c r="F6" s="4"/>
    </row>
    <row r="7" ht="15.75" customHeight="1">
      <c r="A7" s="5" t="s">
        <v>3</v>
      </c>
      <c r="B7" s="4"/>
      <c r="C7" s="13" t="s">
        <v>9</v>
      </c>
      <c r="D7" s="13" t="s">
        <v>13</v>
      </c>
      <c r="E7" s="13" t="s">
        <v>14</v>
      </c>
      <c r="F7" s="13" t="s">
        <v>15</v>
      </c>
    </row>
    <row r="8" ht="15.75" customHeight="1">
      <c r="A8" s="14" t="str">
        <f>Estimasi!L2</f>
        <v>Need</v>
      </c>
      <c r="B8" s="4"/>
      <c r="C8" s="15">
        <f>Estimasi!M2</f>
        <v>1985681</v>
      </c>
      <c r="D8" s="15">
        <f>IFERROR(SUMIF(Rincian!$C$2:$C$1001,A8,Rincian!$E$2:$E$1001),0)</f>
        <v>171300</v>
      </c>
      <c r="E8" s="15">
        <f t="shared" ref="E8:E11" si="1">C8-D8</f>
        <v>1814381</v>
      </c>
      <c r="F8" s="18" t="str">
        <f t="shared" ref="F8:F11" si="2">IF(C8=0,"",IF(E8&lt;0,"Over Budget",IF(E8/C8&lt;=0.2,"Mendekati Batas","Aman")))</f>
        <v>Aman</v>
      </c>
    </row>
    <row r="9" ht="15.75" customHeight="1">
      <c r="A9" s="14" t="str">
        <f>Estimasi!L3</f>
        <v>Fun</v>
      </c>
      <c r="B9" s="4"/>
      <c r="C9" s="15">
        <f>Estimasi!M3</f>
        <v>1191408.6</v>
      </c>
      <c r="D9" s="15">
        <f>IFERROR(SUMIF(Rincian!$C$2:$C$1001,A9,Rincian!$E$2:$E$1001),0)</f>
        <v>363400</v>
      </c>
      <c r="E9" s="15">
        <f t="shared" si="1"/>
        <v>828008.6</v>
      </c>
      <c r="F9" s="18" t="str">
        <f t="shared" si="2"/>
        <v>Aman</v>
      </c>
    </row>
    <row r="10" ht="15.75" customHeight="1">
      <c r="A10" s="14" t="str">
        <f>Estimasi!L4</f>
        <v>Saving</v>
      </c>
      <c r="B10" s="4"/>
      <c r="C10" s="15">
        <f>Estimasi!M4</f>
        <v>794272.4</v>
      </c>
      <c r="D10" s="15">
        <f>IFERROR(SUMIF(Rincian!$C$2:$C$1001,A10,Rincian!$E$2:$E$1001),0)</f>
        <v>0</v>
      </c>
      <c r="E10" s="15">
        <f t="shared" si="1"/>
        <v>794272.4</v>
      </c>
      <c r="F10" s="18" t="str">
        <f t="shared" si="2"/>
        <v>Aman</v>
      </c>
    </row>
    <row r="11" ht="15.75" customHeight="1">
      <c r="A11" s="14" t="str">
        <f>Estimasi!L5</f>
        <v>Emergency</v>
      </c>
      <c r="B11" s="4"/>
      <c r="C11" s="15">
        <f>Estimasi!M5</f>
        <v>337089.6</v>
      </c>
      <c r="D11" s="15">
        <f>IFERROR(SUMIF(Rincian!$C$2:$C$1001,A11,Rincian!$E$2:$E$1001),0)</f>
        <v>0</v>
      </c>
      <c r="E11" s="15">
        <f t="shared" si="1"/>
        <v>337089.6</v>
      </c>
      <c r="F11" s="18" t="str">
        <f t="shared" si="2"/>
        <v>Aman</v>
      </c>
    </row>
    <row r="12" ht="7.5" customHeight="1">
      <c r="A12" s="11"/>
      <c r="B12" s="11"/>
      <c r="C12" s="11"/>
      <c r="D12" s="11"/>
      <c r="E12" s="11"/>
      <c r="F12" s="11"/>
    </row>
    <row r="13" ht="19.5" customHeight="1">
      <c r="A13" s="1" t="s">
        <v>20</v>
      </c>
      <c r="B13" s="2"/>
      <c r="C13" s="2"/>
      <c r="D13" s="2"/>
      <c r="E13" s="2"/>
      <c r="F13" s="4"/>
    </row>
    <row r="14" ht="15.75" customHeight="1">
      <c r="A14" s="5" t="s">
        <v>4</v>
      </c>
      <c r="B14" s="4"/>
      <c r="C14" s="13" t="s">
        <v>8</v>
      </c>
      <c r="D14" s="13" t="s">
        <v>13</v>
      </c>
      <c r="E14" s="13" t="s">
        <v>21</v>
      </c>
      <c r="F14" s="13" t="s">
        <v>22</v>
      </c>
    </row>
    <row r="15" ht="15.75" customHeight="1">
      <c r="A15" s="14" t="str">
        <f>Estimasi!H2</f>
        <v>Makan</v>
      </c>
      <c r="B15" s="4"/>
      <c r="C15" s="15">
        <f>Estimasi!J2</f>
        <v>1240000</v>
      </c>
      <c r="D15" s="15">
        <f>IFERROR(SUMIF(Rincian!$B$2:$B$1001,A15,Rincian!$E$2:$E$1001),0)</f>
        <v>116300</v>
      </c>
      <c r="E15" s="15">
        <f t="shared" ref="E15:E24" si="3">C15-D15</f>
        <v>1123700</v>
      </c>
      <c r="F15" s="24">
        <f t="shared" ref="F15:F24" si="4">IFERROR(D15/C15,0)</f>
        <v>0.09379032258</v>
      </c>
    </row>
    <row r="16" ht="15.75" customHeight="1">
      <c r="A16" s="14" t="str">
        <f>Estimasi!H3</f>
        <v>Bensin</v>
      </c>
      <c r="B16" s="4"/>
      <c r="C16" s="15">
        <f>Estimasi!J3</f>
        <v>250000</v>
      </c>
      <c r="D16" s="15">
        <f>IFERROR(SUMIF(Rincian!$B$2:$B$1001,A16,Rincian!$E$2:$E$1001),0)</f>
        <v>30000</v>
      </c>
      <c r="E16" s="15">
        <f t="shared" si="3"/>
        <v>220000</v>
      </c>
      <c r="F16" s="24">
        <f t="shared" si="4"/>
        <v>0.12</v>
      </c>
    </row>
    <row r="17" ht="15.75" customHeight="1">
      <c r="A17" s="14" t="str">
        <f>Estimasi!H4</f>
        <v>Kuota</v>
      </c>
      <c r="B17" s="4"/>
      <c r="C17" s="15">
        <f>Estimasi!J4</f>
        <v>100000</v>
      </c>
      <c r="D17" s="15">
        <f>IFERROR(SUMIF(Rincian!$B$2:$B$1001,A17,Rincian!$E$2:$E$1001),0)</f>
        <v>25000</v>
      </c>
      <c r="E17" s="15">
        <f t="shared" si="3"/>
        <v>75000</v>
      </c>
      <c r="F17" s="24">
        <f t="shared" si="4"/>
        <v>0.25</v>
      </c>
    </row>
    <row r="18" ht="15.75" customHeight="1">
      <c r="A18" s="14" t="str">
        <f>Estimasi!H5</f>
        <v>BPJS</v>
      </c>
      <c r="B18" s="4"/>
      <c r="C18" s="15">
        <f>Estimasi!J5</f>
        <v>150000</v>
      </c>
      <c r="D18" s="15">
        <f>IFERROR(SUMIF(Rincian!$B$2:$B$1001,A18,Rincian!$E$2:$E$1001),0)</f>
        <v>0</v>
      </c>
      <c r="E18" s="15">
        <f t="shared" si="3"/>
        <v>150000</v>
      </c>
      <c r="F18" s="24">
        <f t="shared" si="4"/>
        <v>0</v>
      </c>
    </row>
    <row r="19" ht="15.75" customHeight="1">
      <c r="A19" s="14" t="str">
        <f>Estimasi!H6</f>
        <v>Laundry</v>
      </c>
      <c r="B19" s="4"/>
      <c r="C19" s="15">
        <f>Estimasi!J6</f>
        <v>100000</v>
      </c>
      <c r="D19" s="15">
        <f>IFERROR(SUMIF(Rincian!$B$2:$B$1001,A19,Rincian!$E$2:$E$1001),0)</f>
        <v>0</v>
      </c>
      <c r="E19" s="15">
        <f t="shared" si="3"/>
        <v>100000</v>
      </c>
      <c r="F19" s="24">
        <f t="shared" si="4"/>
        <v>0</v>
      </c>
    </row>
    <row r="20" ht="15.75" customHeight="1">
      <c r="A20" s="14" t="str">
        <f>Estimasi!H7</f>
        <v>skincare</v>
      </c>
      <c r="B20" s="4"/>
      <c r="C20" s="15">
        <f>Estimasi!J7</f>
        <v>200000</v>
      </c>
      <c r="D20" s="15">
        <f>IFERROR(SUMIF(Rincian!$B$2:$B$1001,A20,Rincian!$E$2:$E$1001),0)</f>
        <v>0</v>
      </c>
      <c r="E20" s="15">
        <f t="shared" si="3"/>
        <v>200000</v>
      </c>
      <c r="F20" s="24">
        <f t="shared" si="4"/>
        <v>0</v>
      </c>
    </row>
    <row r="21" ht="15.75" customHeight="1">
      <c r="A21" s="14" t="str">
        <f>Estimasi!H8</f>
        <v>lainnya</v>
      </c>
      <c r="B21" s="4"/>
      <c r="C21" s="15">
        <f>Estimasi!J8</f>
        <v>500000</v>
      </c>
      <c r="D21" s="15">
        <f>IFERROR(SUMIF(Rincian!$B$2:$B$1001,A21,Rincian!$E$2:$E$1001),0)</f>
        <v>363400</v>
      </c>
      <c r="E21" s="15">
        <f t="shared" si="3"/>
        <v>136600</v>
      </c>
      <c r="F21" s="24">
        <f t="shared" si="4"/>
        <v>0.7268</v>
      </c>
    </row>
    <row r="22" ht="15.75" customHeight="1">
      <c r="A22" s="14" t="str">
        <f>Estimasi!H9</f>
        <v>Jajan</v>
      </c>
      <c r="B22" s="4"/>
      <c r="C22" s="15">
        <f>Estimasi!J9</f>
        <v>300000</v>
      </c>
      <c r="D22" s="15">
        <f>IFERROR(SUMIF(Rincian!$B$2:$B$1001,A22,Rincian!$E$2:$E$1001),0)</f>
        <v>0</v>
      </c>
      <c r="E22" s="15">
        <f t="shared" si="3"/>
        <v>300000</v>
      </c>
      <c r="F22" s="24">
        <f t="shared" si="4"/>
        <v>0</v>
      </c>
    </row>
    <row r="23" ht="15.75" customHeight="1">
      <c r="A23" s="14" t="str">
        <f>Estimasi!H10</f>
        <v>Saving</v>
      </c>
      <c r="B23" s="4"/>
      <c r="C23" s="15">
        <f>Estimasi!J10</f>
        <v>790272</v>
      </c>
      <c r="D23" s="15">
        <f>IFERROR(SUMIF(Rincian!$B$2:$B$1001,A23,Rincian!$E$2:$E$1001),0)</f>
        <v>0</v>
      </c>
      <c r="E23" s="15">
        <f t="shared" si="3"/>
        <v>790272</v>
      </c>
      <c r="F23" s="24">
        <f t="shared" si="4"/>
        <v>0</v>
      </c>
    </row>
    <row r="24" ht="15.75" customHeight="1">
      <c r="A24" s="14" t="str">
        <f>Estimasi!H11</f>
        <v>Emergency</v>
      </c>
      <c r="B24" s="4"/>
      <c r="C24" s="15">
        <f>Estimasi!J11</f>
        <v>337089.6</v>
      </c>
      <c r="D24" s="15">
        <f>IFERROR(SUMIF(Rincian!$B$2:$B$1001,A24,Rincian!$E$2:$E$1001),0)</f>
        <v>0</v>
      </c>
      <c r="E24" s="15">
        <f t="shared" si="3"/>
        <v>337089.6</v>
      </c>
      <c r="F24" s="24">
        <f t="shared" si="4"/>
        <v>0</v>
      </c>
    </row>
    <row r="25" ht="7.5" customHeight="1">
      <c r="A25" s="11"/>
      <c r="B25" s="11"/>
      <c r="C25" s="11"/>
      <c r="D25" s="11"/>
      <c r="E25" s="11"/>
      <c r="F25" s="11"/>
    </row>
    <row r="26" ht="19.5" customHeight="1">
      <c r="A26" s="1" t="s">
        <v>38</v>
      </c>
      <c r="B26" s="2"/>
      <c r="C26" s="2"/>
      <c r="D26" s="2"/>
      <c r="E26" s="2"/>
      <c r="F26" s="4"/>
    </row>
    <row r="27" ht="39.75" customHeight="1">
      <c r="A27" s="35" t="str">
        <f>IF(COUNTIF(F8:F11,"Over Budget")&gt;0,"⚠️ Penggunaan bulan ini OVER BUDGET pada "&amp;COUNTIF(F8:F11,"Over Budget")&amp;" dari "&amp;COUNTA(A8:A11)&amp;" kategori pembagian. Sisa alokasi saat ini: "&amp;TEXT(E4,"[$Rp]#,##0")&amp;".",IF(COUNTIF(F8:F11,"Mendekati Batas")&gt;0,"⚠️ Penggunaan bulan ini mendekati batas pada "&amp;COUNTIF(F8:F11,"Mendekati Batas")&amp;" kategori pembagian. Tetap waspada. Sisa alokasi saat ini: "&amp;TEXT(E4,"[$Rp]#,##0")&amp;".","✅ Penggunaan bulan ini masih dalam kondisi aman di semua kategori. Sisa alokasi saat ini: "&amp;TEXT(E4,"[$Rp]#,##0")&amp;"."))</f>
        <v>✅ Penggunaan bulan ini masih dalam kondisi aman di semua kategori. Sisa alokasi saat ini: Rp3,436,662.</v>
      </c>
      <c r="B27" s="2"/>
      <c r="C27" s="2"/>
      <c r="D27" s="2"/>
      <c r="E27" s="2"/>
      <c r="F27" s="4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B3"/>
    <mergeCell ref="C3:D3"/>
    <mergeCell ref="E3:F3"/>
    <mergeCell ref="A4:B4"/>
    <mergeCell ref="C4:D4"/>
    <mergeCell ref="E4:F4"/>
    <mergeCell ref="A6:F6"/>
    <mergeCell ref="A7:B7"/>
    <mergeCell ref="A8:B8"/>
    <mergeCell ref="A9:B9"/>
    <mergeCell ref="A10:B10"/>
    <mergeCell ref="A11:B11"/>
    <mergeCell ref="A20:B20"/>
    <mergeCell ref="A21:B21"/>
    <mergeCell ref="A22:B22"/>
    <mergeCell ref="A23:B23"/>
    <mergeCell ref="A24:B24"/>
    <mergeCell ref="A26:F26"/>
    <mergeCell ref="A27:F27"/>
    <mergeCell ref="A13:F13"/>
    <mergeCell ref="A14:B14"/>
    <mergeCell ref="A15:B15"/>
    <mergeCell ref="A16:B16"/>
    <mergeCell ref="A17:B17"/>
    <mergeCell ref="A18:B18"/>
    <mergeCell ref="A19:B19"/>
  </mergeCells>
  <conditionalFormatting sqref="F8:F11">
    <cfRule type="cellIs" dxfId="5" priority="1" operator="equal">
      <formula>"Aman"</formula>
    </cfRule>
  </conditionalFormatting>
  <conditionalFormatting sqref="F8:F11">
    <cfRule type="cellIs" dxfId="6" priority="2" operator="equal">
      <formula>"Mendekati Batas"</formula>
    </cfRule>
  </conditionalFormatting>
  <conditionalFormatting sqref="F8:F11">
    <cfRule type="cellIs" dxfId="7" priority="3" operator="equal">
      <formula>"Over Budget"</formula>
    </cfRule>
  </conditionalFormatting>
  <conditionalFormatting sqref="A4:F4">
    <cfRule type="cellIs" dxfId="7" priority="4" operator="lessThan">
      <formula>0</formula>
    </cfRule>
  </conditionalFormatting>
  <conditionalFormatting sqref="F15:F24">
    <cfRule type="cellIs" dxfId="7" priority="5" operator="greaterThan">
      <formula>1</formula>
    </cfRule>
  </conditionalFormatting>
  <conditionalFormatting sqref="F15:F24">
    <cfRule type="cellIs" dxfId="6" priority="6" operator="between">
      <formula>0.8</formula>
      <formula>1</formula>
    </cfRule>
  </conditionalFormatting>
  <conditionalFormatting sqref="F15:F24">
    <cfRule type="cellIs" dxfId="5" priority="7" operator="lessThanOrEqual">
      <formula>0.8</formula>
    </cfRule>
  </conditionalFormatting>
  <conditionalFormatting sqref="E15:E24">
    <cfRule type="cellIs" dxfId="7" priority="8" operator="lessThan">
      <formula>0</formula>
    </cfRule>
  </conditionalFormatting>
  <conditionalFormatting sqref="E15:E24">
    <cfRule type="cellIs" dxfId="5" priority="9" operator="greater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14.75"/>
    <col customWidth="1" min="6" max="6" width="12.63"/>
  </cols>
  <sheetData>
    <row r="1" ht="15.75" customHeight="1">
      <c r="A1" s="3" t="s">
        <v>0</v>
      </c>
      <c r="B1" s="4"/>
      <c r="C1" s="3" t="s">
        <v>3</v>
      </c>
      <c r="D1" s="4"/>
      <c r="E1" s="3" t="s">
        <v>4</v>
      </c>
      <c r="F1" s="4"/>
      <c r="G1" s="6"/>
      <c r="H1" s="7" t="s">
        <v>4</v>
      </c>
      <c r="I1" s="7" t="s">
        <v>3</v>
      </c>
      <c r="J1" s="8" t="s">
        <v>8</v>
      </c>
      <c r="K1" s="6"/>
      <c r="L1" s="7" t="s">
        <v>3</v>
      </c>
      <c r="M1" s="9" t="s">
        <v>9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5.75" customHeight="1">
      <c r="A2" s="3">
        <v>1.0</v>
      </c>
      <c r="B2" s="4"/>
      <c r="C2" s="3">
        <v>2.0</v>
      </c>
      <c r="D2" s="4"/>
      <c r="E2" s="3">
        <v>3.0</v>
      </c>
      <c r="F2" s="4"/>
      <c r="G2" s="6"/>
      <c r="H2" s="11" t="s">
        <v>10</v>
      </c>
      <c r="I2" s="11" t="s">
        <v>11</v>
      </c>
      <c r="J2" s="12">
        <v>1240000.0</v>
      </c>
      <c r="K2" s="6"/>
      <c r="L2" s="11" t="s">
        <v>11</v>
      </c>
      <c r="M2" s="12">
        <f>D3</f>
        <v>1985681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5.75" customHeight="1">
      <c r="A3" s="25" t="s">
        <v>23</v>
      </c>
      <c r="B3" s="26">
        <v>3971362.0</v>
      </c>
      <c r="C3" s="27" t="s">
        <v>25</v>
      </c>
      <c r="D3" s="28">
        <f>B3*0.5</f>
        <v>1985681</v>
      </c>
      <c r="E3" s="29" t="s">
        <v>26</v>
      </c>
      <c r="F3" s="30">
        <f>(40000*DAY(EOMONTH(DATE(YEAR(TODAY()),8,1),0)))</f>
        <v>1240000</v>
      </c>
      <c r="H3" s="11" t="s">
        <v>27</v>
      </c>
      <c r="I3" s="11" t="s">
        <v>11</v>
      </c>
      <c r="J3" s="12">
        <v>250000.0</v>
      </c>
      <c r="L3" s="11" t="s">
        <v>28</v>
      </c>
      <c r="M3" s="12">
        <f>D10</f>
        <v>1191408.6</v>
      </c>
    </row>
    <row r="4" ht="15.75" customHeight="1">
      <c r="A4" s="31"/>
      <c r="B4" s="31"/>
      <c r="C4" s="31"/>
      <c r="D4" s="31"/>
      <c r="E4" s="29" t="s">
        <v>27</v>
      </c>
      <c r="F4" s="30">
        <v>250000.0</v>
      </c>
      <c r="H4" s="11" t="s">
        <v>29</v>
      </c>
      <c r="I4" s="11" t="s">
        <v>11</v>
      </c>
      <c r="J4" s="12">
        <v>100000.0</v>
      </c>
      <c r="L4" s="11" t="s">
        <v>30</v>
      </c>
      <c r="M4" s="12">
        <f>D15</f>
        <v>794272.4</v>
      </c>
    </row>
    <row r="5" ht="15.75" customHeight="1">
      <c r="A5" s="31"/>
      <c r="B5" s="31"/>
      <c r="C5" s="31"/>
      <c r="D5" s="31"/>
      <c r="E5" s="29" t="s">
        <v>29</v>
      </c>
      <c r="F5" s="30">
        <v>100000.0</v>
      </c>
      <c r="H5" s="11" t="s">
        <v>31</v>
      </c>
      <c r="I5" s="11" t="s">
        <v>11</v>
      </c>
      <c r="J5" s="12">
        <v>150000.0</v>
      </c>
      <c r="L5" s="11" t="s">
        <v>32</v>
      </c>
      <c r="M5" s="32">
        <f>F17</f>
        <v>337089.6</v>
      </c>
    </row>
    <row r="6" ht="15.75" customHeight="1">
      <c r="A6" s="31"/>
      <c r="B6" s="31"/>
      <c r="C6" s="31"/>
      <c r="D6" s="31"/>
      <c r="E6" s="29" t="s">
        <v>31</v>
      </c>
      <c r="F6" s="30">
        <v>150000.0</v>
      </c>
      <c r="H6" s="11" t="s">
        <v>33</v>
      </c>
      <c r="I6" s="11" t="s">
        <v>11</v>
      </c>
      <c r="J6" s="12">
        <v>100000.0</v>
      </c>
    </row>
    <row r="7" ht="15.75" customHeight="1">
      <c r="A7" s="31"/>
      <c r="B7" s="31"/>
      <c r="C7" s="31"/>
      <c r="D7" s="31"/>
      <c r="E7" s="29" t="s">
        <v>33</v>
      </c>
      <c r="F7" s="30">
        <v>100000.0</v>
      </c>
      <c r="H7" s="11" t="s">
        <v>35</v>
      </c>
      <c r="I7" s="11" t="s">
        <v>28</v>
      </c>
      <c r="J7" s="12">
        <v>200000.0</v>
      </c>
    </row>
    <row r="8" ht="15.75" customHeight="1">
      <c r="A8" s="31"/>
      <c r="B8" s="31"/>
      <c r="C8" s="31"/>
      <c r="D8" s="31"/>
      <c r="E8" s="33" t="s">
        <v>36</v>
      </c>
      <c r="F8" s="30">
        <f>SUM(F3:F7)</f>
        <v>1840000</v>
      </c>
      <c r="H8" s="11" t="s">
        <v>37</v>
      </c>
      <c r="I8" s="11" t="s">
        <v>28</v>
      </c>
      <c r="J8" s="12">
        <v>500000.0</v>
      </c>
    </row>
    <row r="9" ht="15.75" customHeight="1">
      <c r="A9" s="31"/>
      <c r="B9" s="31"/>
      <c r="C9" s="34"/>
      <c r="D9" s="34"/>
      <c r="E9" s="33" t="s">
        <v>14</v>
      </c>
      <c r="F9" s="30">
        <f>D3-F8</f>
        <v>145681</v>
      </c>
      <c r="H9" s="11" t="s">
        <v>39</v>
      </c>
      <c r="I9" s="11" t="s">
        <v>28</v>
      </c>
      <c r="J9" s="12">
        <v>300000.0</v>
      </c>
    </row>
    <row r="10" ht="15.75" customHeight="1">
      <c r="A10" s="31"/>
      <c r="B10" s="31"/>
      <c r="C10" s="27" t="s">
        <v>40</v>
      </c>
      <c r="D10" s="28">
        <f>B3*0.3</f>
        <v>1191408.6</v>
      </c>
      <c r="E10" s="29" t="s">
        <v>35</v>
      </c>
      <c r="F10" s="30">
        <v>200000.0</v>
      </c>
      <c r="H10" s="11" t="s">
        <v>30</v>
      </c>
      <c r="I10" s="11" t="s">
        <v>30</v>
      </c>
      <c r="J10" s="12">
        <v>790272.0</v>
      </c>
    </row>
    <row r="11" ht="15.75" customHeight="1">
      <c r="A11" s="31"/>
      <c r="B11" s="31"/>
      <c r="C11" s="31"/>
      <c r="D11" s="31"/>
      <c r="E11" s="29" t="s">
        <v>37</v>
      </c>
      <c r="F11" s="30">
        <v>500000.0</v>
      </c>
      <c r="H11" s="11" t="s">
        <v>32</v>
      </c>
      <c r="I11" s="11" t="s">
        <v>32</v>
      </c>
      <c r="J11" s="32">
        <f>F17</f>
        <v>337089.6</v>
      </c>
    </row>
    <row r="12" ht="15.75" customHeight="1">
      <c r="A12" s="31"/>
      <c r="B12" s="31"/>
      <c r="C12" s="31"/>
      <c r="D12" s="31"/>
      <c r="E12" s="29" t="s">
        <v>39</v>
      </c>
      <c r="F12" s="30">
        <v>300000.0</v>
      </c>
      <c r="J12" s="32"/>
    </row>
    <row r="13" ht="15.75" customHeight="1">
      <c r="A13" s="31"/>
      <c r="B13" s="31"/>
      <c r="C13" s="31"/>
      <c r="D13" s="31"/>
      <c r="E13" s="33" t="s">
        <v>36</v>
      </c>
      <c r="F13" s="30">
        <f>SUM(F10:F12)</f>
        <v>1000000</v>
      </c>
      <c r="J13" s="32"/>
    </row>
    <row r="14" ht="15.75" customHeight="1">
      <c r="A14" s="31"/>
      <c r="B14" s="31"/>
      <c r="C14" s="34"/>
      <c r="D14" s="34"/>
      <c r="E14" s="33" t="s">
        <v>14</v>
      </c>
      <c r="F14" s="30">
        <f>D10-F13</f>
        <v>191408.6</v>
      </c>
      <c r="J14" s="32"/>
    </row>
    <row r="15" ht="15.75" customHeight="1">
      <c r="A15" s="31"/>
      <c r="B15" s="31"/>
      <c r="C15" s="27" t="s">
        <v>42</v>
      </c>
      <c r="D15" s="28">
        <f>B3*0.2</f>
        <v>794272.4</v>
      </c>
      <c r="E15" s="33" t="s">
        <v>36</v>
      </c>
      <c r="F15" s="30">
        <f>D15</f>
        <v>794272.4</v>
      </c>
      <c r="J15" s="32"/>
    </row>
    <row r="16" ht="15.75" customHeight="1">
      <c r="A16" s="31"/>
      <c r="B16" s="31"/>
      <c r="C16" s="34"/>
      <c r="D16" s="34"/>
      <c r="E16" s="33" t="s">
        <v>14</v>
      </c>
      <c r="F16" s="30">
        <f>D15-F15</f>
        <v>0</v>
      </c>
      <c r="J16" s="32"/>
    </row>
    <row r="17" ht="15.75" customHeight="1">
      <c r="A17" s="34"/>
      <c r="B17" s="34"/>
      <c r="C17" s="36" t="s">
        <v>32</v>
      </c>
      <c r="D17" s="37">
        <f>F9+F14+F16</f>
        <v>337089.6</v>
      </c>
      <c r="E17" s="38" t="s">
        <v>36</v>
      </c>
      <c r="F17" s="30">
        <f>D17</f>
        <v>337089.6</v>
      </c>
      <c r="J17" s="32"/>
    </row>
    <row r="18" ht="15.75" customHeight="1">
      <c r="A18" s="39" t="s">
        <v>43</v>
      </c>
      <c r="B18" s="2"/>
      <c r="C18" s="2"/>
      <c r="D18" s="2"/>
      <c r="E18" s="4"/>
      <c r="F18" s="40">
        <f t="shared" ref="F18:F19" si="1">F8+F13+F15</f>
        <v>3634272.4</v>
      </c>
      <c r="J18" s="32"/>
    </row>
    <row r="19" ht="15.75" customHeight="1">
      <c r="A19" s="39" t="s">
        <v>44</v>
      </c>
      <c r="B19" s="2"/>
      <c r="C19" s="2"/>
      <c r="D19" s="2"/>
      <c r="E19" s="4"/>
      <c r="F19" s="40">
        <f t="shared" si="1"/>
        <v>337089.6</v>
      </c>
      <c r="J19" s="32"/>
    </row>
    <row r="20" ht="15.75" customHeight="1">
      <c r="F20" s="32"/>
      <c r="J20" s="32"/>
    </row>
    <row r="21" ht="15.75" customHeight="1">
      <c r="F21" s="32"/>
      <c r="J21" s="32"/>
    </row>
    <row r="22" ht="15.75" customHeight="1">
      <c r="F22" s="32"/>
      <c r="J22" s="32"/>
    </row>
    <row r="23" ht="15.75" customHeight="1">
      <c r="F23" s="32"/>
      <c r="J23" s="32"/>
    </row>
    <row r="24" ht="15.75" customHeight="1">
      <c r="F24" s="32"/>
      <c r="J24" s="32"/>
    </row>
    <row r="25" ht="15.75" customHeight="1">
      <c r="F25" s="32"/>
      <c r="J25" s="32"/>
    </row>
    <row r="26" ht="15.75" customHeight="1">
      <c r="F26" s="32"/>
      <c r="J26" s="32"/>
    </row>
    <row r="27" ht="15.75" customHeight="1">
      <c r="F27" s="32"/>
      <c r="J27" s="32"/>
    </row>
    <row r="28" ht="15.75" customHeight="1">
      <c r="F28" s="32"/>
      <c r="J28" s="32"/>
    </row>
    <row r="29" ht="15.75" customHeight="1">
      <c r="F29" s="32"/>
      <c r="J29" s="32"/>
    </row>
    <row r="30" ht="15.75" customHeight="1">
      <c r="F30" s="32"/>
      <c r="J30" s="32"/>
    </row>
    <row r="31" ht="15.75" customHeight="1">
      <c r="F31" s="32"/>
      <c r="J31" s="32"/>
    </row>
    <row r="32" ht="15.75" customHeight="1">
      <c r="F32" s="32"/>
      <c r="J32" s="32"/>
    </row>
    <row r="33" ht="15.75" customHeight="1">
      <c r="F33" s="32"/>
      <c r="J33" s="32"/>
    </row>
    <row r="34" ht="15.75" customHeight="1">
      <c r="F34" s="32"/>
      <c r="J34" s="32"/>
    </row>
    <row r="35" ht="15.75" customHeight="1">
      <c r="F35" s="32"/>
      <c r="J35" s="32"/>
    </row>
    <row r="36" ht="15.75" customHeight="1">
      <c r="F36" s="32"/>
      <c r="J36" s="32"/>
    </row>
    <row r="37" ht="15.75" customHeight="1">
      <c r="F37" s="32"/>
      <c r="J37" s="32"/>
    </row>
    <row r="38" ht="15.75" customHeight="1">
      <c r="F38" s="32"/>
      <c r="J38" s="32"/>
    </row>
    <row r="39" ht="15.75" customHeight="1">
      <c r="F39" s="32"/>
      <c r="J39" s="32"/>
    </row>
    <row r="40" ht="15.75" customHeight="1">
      <c r="F40" s="32"/>
      <c r="J40" s="32"/>
    </row>
    <row r="41" ht="15.75" customHeight="1">
      <c r="F41" s="32"/>
      <c r="J41" s="32"/>
    </row>
    <row r="42" ht="15.75" customHeight="1">
      <c r="F42" s="32"/>
      <c r="J42" s="32"/>
    </row>
    <row r="43" ht="15.75" customHeight="1">
      <c r="F43" s="32"/>
      <c r="J43" s="32"/>
    </row>
    <row r="44" ht="15.75" customHeight="1">
      <c r="F44" s="32"/>
      <c r="J44" s="32"/>
    </row>
    <row r="45" ht="15.75" customHeight="1">
      <c r="F45" s="32"/>
      <c r="J45" s="32"/>
    </row>
    <row r="46" ht="15.75" customHeight="1">
      <c r="F46" s="32"/>
      <c r="J46" s="32"/>
    </row>
    <row r="47" ht="15.75" customHeight="1">
      <c r="F47" s="32"/>
      <c r="J47" s="32"/>
    </row>
    <row r="48" ht="15.75" customHeight="1">
      <c r="F48" s="32"/>
      <c r="J48" s="32"/>
    </row>
    <row r="49" ht="15.75" customHeight="1">
      <c r="F49" s="32"/>
      <c r="J49" s="32"/>
    </row>
    <row r="50" ht="15.75" customHeight="1">
      <c r="F50" s="32"/>
      <c r="J50" s="32"/>
    </row>
    <row r="51" ht="15.75" customHeight="1">
      <c r="F51" s="32"/>
      <c r="J51" s="32"/>
    </row>
    <row r="52" ht="15.75" customHeight="1">
      <c r="F52" s="32"/>
      <c r="J52" s="32"/>
    </row>
    <row r="53" ht="15.75" customHeight="1">
      <c r="F53" s="32"/>
      <c r="J53" s="32"/>
    </row>
    <row r="54" ht="15.75" customHeight="1">
      <c r="F54" s="32"/>
      <c r="J54" s="32"/>
    </row>
    <row r="55" ht="15.75" customHeight="1">
      <c r="F55" s="32"/>
      <c r="J55" s="32"/>
    </row>
    <row r="56" ht="15.75" customHeight="1">
      <c r="F56" s="32"/>
      <c r="J56" s="32"/>
    </row>
    <row r="57" ht="15.75" customHeight="1">
      <c r="F57" s="32"/>
      <c r="J57" s="32"/>
    </row>
    <row r="58" ht="15.75" customHeight="1">
      <c r="F58" s="32"/>
      <c r="J58" s="32"/>
    </row>
    <row r="59" ht="15.75" customHeight="1">
      <c r="F59" s="32"/>
      <c r="J59" s="32"/>
    </row>
    <row r="60" ht="15.75" customHeight="1">
      <c r="F60" s="32"/>
      <c r="J60" s="32"/>
    </row>
    <row r="61" ht="15.75" customHeight="1">
      <c r="F61" s="32"/>
      <c r="J61" s="32"/>
    </row>
    <row r="62" ht="15.75" customHeight="1">
      <c r="F62" s="32"/>
      <c r="J62" s="32"/>
    </row>
    <row r="63" ht="15.75" customHeight="1">
      <c r="F63" s="32"/>
      <c r="J63" s="32"/>
    </row>
    <row r="64" ht="15.75" customHeight="1">
      <c r="F64" s="32"/>
      <c r="J64" s="32"/>
    </row>
    <row r="65" ht="15.75" customHeight="1">
      <c r="F65" s="32"/>
      <c r="J65" s="32"/>
    </row>
    <row r="66" ht="15.75" customHeight="1">
      <c r="F66" s="32"/>
      <c r="J66" s="32"/>
    </row>
    <row r="67" ht="15.75" customHeight="1">
      <c r="F67" s="32"/>
      <c r="J67" s="32"/>
    </row>
    <row r="68" ht="15.75" customHeight="1">
      <c r="F68" s="32"/>
      <c r="J68" s="32"/>
    </row>
    <row r="69" ht="15.75" customHeight="1">
      <c r="F69" s="32"/>
      <c r="J69" s="32"/>
    </row>
    <row r="70" ht="15.75" customHeight="1">
      <c r="F70" s="32"/>
      <c r="J70" s="32"/>
    </row>
    <row r="71" ht="15.75" customHeight="1">
      <c r="F71" s="32"/>
      <c r="J71" s="32"/>
    </row>
    <row r="72" ht="15.75" customHeight="1">
      <c r="F72" s="32"/>
      <c r="J72" s="32"/>
    </row>
    <row r="73" ht="15.75" customHeight="1">
      <c r="F73" s="32"/>
      <c r="J73" s="32"/>
    </row>
    <row r="74" ht="15.75" customHeight="1">
      <c r="F74" s="32"/>
      <c r="J74" s="32"/>
    </row>
    <row r="75" ht="15.75" customHeight="1">
      <c r="F75" s="32"/>
      <c r="J75" s="32"/>
    </row>
    <row r="76" ht="15.75" customHeight="1">
      <c r="F76" s="32"/>
      <c r="J76" s="32"/>
    </row>
    <row r="77" ht="15.75" customHeight="1">
      <c r="F77" s="32"/>
      <c r="J77" s="32"/>
    </row>
    <row r="78" ht="15.75" customHeight="1">
      <c r="F78" s="32"/>
      <c r="J78" s="32"/>
    </row>
    <row r="79" ht="15.75" customHeight="1">
      <c r="F79" s="32"/>
      <c r="J79" s="32"/>
    </row>
    <row r="80" ht="15.75" customHeight="1">
      <c r="F80" s="32"/>
      <c r="J80" s="32"/>
    </row>
    <row r="81" ht="15.75" customHeight="1">
      <c r="F81" s="32"/>
      <c r="J81" s="32"/>
    </row>
    <row r="82" ht="15.75" customHeight="1">
      <c r="F82" s="32"/>
      <c r="J82" s="32"/>
    </row>
    <row r="83" ht="15.75" customHeight="1">
      <c r="F83" s="32"/>
      <c r="J83" s="32"/>
    </row>
    <row r="84" ht="15.75" customHeight="1">
      <c r="F84" s="32"/>
      <c r="J84" s="32"/>
    </row>
    <row r="85" ht="15.75" customHeight="1">
      <c r="F85" s="32"/>
      <c r="J85" s="32"/>
    </row>
    <row r="86" ht="15.75" customHeight="1">
      <c r="F86" s="32"/>
      <c r="J86" s="32"/>
    </row>
    <row r="87" ht="15.75" customHeight="1">
      <c r="F87" s="32"/>
      <c r="J87" s="32"/>
    </row>
    <row r="88" ht="15.75" customHeight="1">
      <c r="F88" s="32"/>
      <c r="J88" s="32"/>
    </row>
    <row r="89" ht="15.75" customHeight="1">
      <c r="F89" s="32"/>
      <c r="J89" s="32"/>
    </row>
    <row r="90" ht="15.75" customHeight="1">
      <c r="F90" s="32"/>
      <c r="J90" s="32"/>
    </row>
    <row r="91" ht="15.75" customHeight="1">
      <c r="F91" s="32"/>
      <c r="J91" s="32"/>
    </row>
    <row r="92" ht="15.75" customHeight="1">
      <c r="F92" s="32"/>
      <c r="J92" s="32"/>
    </row>
    <row r="93" ht="15.75" customHeight="1">
      <c r="F93" s="32"/>
      <c r="J93" s="32"/>
    </row>
    <row r="94" ht="15.75" customHeight="1">
      <c r="F94" s="32"/>
      <c r="J94" s="32"/>
    </row>
    <row r="95" ht="15.75" customHeight="1">
      <c r="F95" s="32"/>
      <c r="J95" s="32"/>
    </row>
    <row r="96" ht="15.75" customHeight="1">
      <c r="F96" s="32"/>
      <c r="J96" s="32"/>
    </row>
    <row r="97" ht="15.75" customHeight="1">
      <c r="F97" s="32"/>
      <c r="J97" s="32"/>
    </row>
    <row r="98" ht="15.75" customHeight="1">
      <c r="F98" s="32"/>
      <c r="J98" s="32"/>
    </row>
    <row r="99" ht="15.75" customHeight="1">
      <c r="F99" s="32"/>
      <c r="J99" s="32"/>
    </row>
    <row r="100" ht="15.75" customHeight="1">
      <c r="F100" s="32"/>
      <c r="J100" s="32"/>
    </row>
    <row r="101" ht="15.75" customHeight="1">
      <c r="F101" s="32"/>
      <c r="J101" s="32"/>
    </row>
    <row r="102" ht="15.75" customHeight="1">
      <c r="F102" s="32"/>
      <c r="J102" s="32"/>
    </row>
    <row r="103" ht="15.75" customHeight="1">
      <c r="F103" s="32"/>
      <c r="J103" s="32"/>
    </row>
    <row r="104" ht="15.75" customHeight="1">
      <c r="F104" s="32"/>
      <c r="J104" s="32"/>
    </row>
    <row r="105" ht="15.75" customHeight="1">
      <c r="F105" s="32"/>
      <c r="J105" s="32"/>
    </row>
    <row r="106" ht="15.75" customHeight="1">
      <c r="F106" s="32"/>
      <c r="J106" s="32"/>
    </row>
    <row r="107" ht="15.75" customHeight="1">
      <c r="F107" s="32"/>
      <c r="J107" s="32"/>
    </row>
    <row r="108" ht="15.75" customHeight="1">
      <c r="F108" s="32"/>
      <c r="J108" s="32"/>
    </row>
    <row r="109" ht="15.75" customHeight="1">
      <c r="F109" s="32"/>
      <c r="J109" s="32"/>
    </row>
    <row r="110" ht="15.75" customHeight="1">
      <c r="F110" s="32"/>
      <c r="J110" s="32"/>
    </row>
    <row r="111" ht="15.75" customHeight="1">
      <c r="F111" s="32"/>
      <c r="J111" s="32"/>
    </row>
    <row r="112" ht="15.75" customHeight="1">
      <c r="F112" s="32"/>
      <c r="J112" s="32"/>
    </row>
    <row r="113" ht="15.75" customHeight="1">
      <c r="F113" s="32"/>
      <c r="J113" s="32"/>
    </row>
    <row r="114" ht="15.75" customHeight="1">
      <c r="F114" s="32"/>
      <c r="J114" s="32"/>
    </row>
    <row r="115" ht="15.75" customHeight="1">
      <c r="F115" s="32"/>
      <c r="J115" s="32"/>
    </row>
    <row r="116" ht="15.75" customHeight="1">
      <c r="F116" s="32"/>
      <c r="J116" s="32"/>
    </row>
    <row r="117" ht="15.75" customHeight="1">
      <c r="F117" s="32"/>
      <c r="J117" s="32"/>
    </row>
    <row r="118" ht="15.75" customHeight="1">
      <c r="F118" s="32"/>
      <c r="J118" s="32"/>
    </row>
    <row r="119" ht="15.75" customHeight="1">
      <c r="F119" s="32"/>
      <c r="J119" s="32"/>
    </row>
    <row r="120" ht="15.75" customHeight="1">
      <c r="F120" s="32"/>
      <c r="J120" s="32"/>
    </row>
    <row r="121" ht="15.75" customHeight="1">
      <c r="F121" s="32"/>
      <c r="J121" s="32"/>
    </row>
    <row r="122" ht="15.75" customHeight="1">
      <c r="F122" s="32"/>
      <c r="J122" s="32"/>
    </row>
    <row r="123" ht="15.75" customHeight="1">
      <c r="F123" s="32"/>
      <c r="J123" s="32"/>
    </row>
    <row r="124" ht="15.75" customHeight="1">
      <c r="F124" s="32"/>
      <c r="J124" s="32"/>
    </row>
    <row r="125" ht="15.75" customHeight="1">
      <c r="F125" s="32"/>
      <c r="J125" s="32"/>
    </row>
    <row r="126" ht="15.75" customHeight="1">
      <c r="F126" s="32"/>
      <c r="J126" s="32"/>
    </row>
    <row r="127" ht="15.75" customHeight="1">
      <c r="F127" s="32"/>
      <c r="J127" s="32"/>
    </row>
    <row r="128" ht="15.75" customHeight="1">
      <c r="F128" s="32"/>
      <c r="J128" s="32"/>
    </row>
    <row r="129" ht="15.75" customHeight="1">
      <c r="F129" s="32"/>
      <c r="J129" s="32"/>
    </row>
    <row r="130" ht="15.75" customHeight="1">
      <c r="F130" s="32"/>
      <c r="J130" s="32"/>
    </row>
    <row r="131" ht="15.75" customHeight="1">
      <c r="F131" s="32"/>
      <c r="J131" s="32"/>
    </row>
    <row r="132" ht="15.75" customHeight="1">
      <c r="F132" s="32"/>
      <c r="J132" s="32"/>
    </row>
    <row r="133" ht="15.75" customHeight="1">
      <c r="F133" s="32"/>
      <c r="J133" s="32"/>
    </row>
    <row r="134" ht="15.75" customHeight="1">
      <c r="F134" s="32"/>
      <c r="J134" s="32"/>
    </row>
    <row r="135" ht="15.75" customHeight="1">
      <c r="F135" s="32"/>
      <c r="J135" s="32"/>
    </row>
    <row r="136" ht="15.75" customHeight="1">
      <c r="F136" s="32"/>
      <c r="J136" s="32"/>
    </row>
    <row r="137" ht="15.75" customHeight="1">
      <c r="F137" s="32"/>
      <c r="J137" s="32"/>
    </row>
    <row r="138" ht="15.75" customHeight="1">
      <c r="F138" s="32"/>
      <c r="J138" s="32"/>
    </row>
    <row r="139" ht="15.75" customHeight="1">
      <c r="F139" s="32"/>
      <c r="J139" s="32"/>
    </row>
    <row r="140" ht="15.75" customHeight="1">
      <c r="F140" s="32"/>
      <c r="J140" s="32"/>
    </row>
    <row r="141" ht="15.75" customHeight="1">
      <c r="F141" s="32"/>
      <c r="J141" s="32"/>
    </row>
    <row r="142" ht="15.75" customHeight="1">
      <c r="F142" s="32"/>
      <c r="J142" s="32"/>
    </row>
    <row r="143" ht="15.75" customHeight="1">
      <c r="F143" s="32"/>
      <c r="J143" s="32"/>
    </row>
    <row r="144" ht="15.75" customHeight="1">
      <c r="F144" s="32"/>
      <c r="J144" s="32"/>
    </row>
    <row r="145" ht="15.75" customHeight="1">
      <c r="F145" s="32"/>
      <c r="J145" s="32"/>
    </row>
    <row r="146" ht="15.75" customHeight="1">
      <c r="F146" s="32"/>
      <c r="J146" s="32"/>
    </row>
    <row r="147" ht="15.75" customHeight="1">
      <c r="F147" s="32"/>
      <c r="J147" s="32"/>
    </row>
    <row r="148" ht="15.75" customHeight="1">
      <c r="F148" s="32"/>
      <c r="J148" s="32"/>
    </row>
    <row r="149" ht="15.75" customHeight="1">
      <c r="F149" s="32"/>
      <c r="J149" s="32"/>
    </row>
    <row r="150" ht="15.75" customHeight="1">
      <c r="F150" s="32"/>
      <c r="J150" s="32"/>
    </row>
    <row r="151" ht="15.75" customHeight="1">
      <c r="F151" s="32"/>
      <c r="J151" s="32"/>
    </row>
    <row r="152" ht="15.75" customHeight="1">
      <c r="F152" s="32"/>
      <c r="J152" s="32"/>
    </row>
    <row r="153" ht="15.75" customHeight="1">
      <c r="F153" s="32"/>
      <c r="J153" s="32"/>
    </row>
    <row r="154" ht="15.75" customHeight="1">
      <c r="F154" s="32"/>
      <c r="J154" s="32"/>
    </row>
    <row r="155" ht="15.75" customHeight="1">
      <c r="F155" s="32"/>
      <c r="J155" s="32"/>
    </row>
    <row r="156" ht="15.75" customHeight="1">
      <c r="F156" s="32"/>
      <c r="J156" s="32"/>
    </row>
    <row r="157" ht="15.75" customHeight="1">
      <c r="F157" s="32"/>
      <c r="J157" s="32"/>
    </row>
    <row r="158" ht="15.75" customHeight="1">
      <c r="F158" s="32"/>
      <c r="J158" s="32"/>
    </row>
    <row r="159" ht="15.75" customHeight="1">
      <c r="F159" s="32"/>
      <c r="J159" s="32"/>
    </row>
    <row r="160" ht="15.75" customHeight="1">
      <c r="F160" s="32"/>
      <c r="J160" s="32"/>
    </row>
    <row r="161" ht="15.75" customHeight="1">
      <c r="F161" s="32"/>
      <c r="J161" s="32"/>
    </row>
    <row r="162" ht="15.75" customHeight="1">
      <c r="F162" s="32"/>
      <c r="J162" s="32"/>
    </row>
    <row r="163" ht="15.75" customHeight="1">
      <c r="F163" s="32"/>
      <c r="J163" s="32"/>
    </row>
    <row r="164" ht="15.75" customHeight="1">
      <c r="F164" s="32"/>
      <c r="J164" s="32"/>
    </row>
    <row r="165" ht="15.75" customHeight="1">
      <c r="F165" s="32"/>
      <c r="J165" s="32"/>
    </row>
    <row r="166" ht="15.75" customHeight="1">
      <c r="F166" s="32"/>
      <c r="J166" s="32"/>
    </row>
    <row r="167" ht="15.75" customHeight="1">
      <c r="F167" s="32"/>
      <c r="J167" s="32"/>
    </row>
    <row r="168" ht="15.75" customHeight="1">
      <c r="F168" s="32"/>
      <c r="J168" s="32"/>
    </row>
    <row r="169" ht="15.75" customHeight="1">
      <c r="F169" s="32"/>
      <c r="J169" s="32"/>
    </row>
    <row r="170" ht="15.75" customHeight="1">
      <c r="F170" s="32"/>
      <c r="J170" s="32"/>
    </row>
    <row r="171" ht="15.75" customHeight="1">
      <c r="F171" s="32"/>
      <c r="J171" s="32"/>
    </row>
    <row r="172" ht="15.75" customHeight="1">
      <c r="F172" s="32"/>
      <c r="J172" s="32"/>
    </row>
    <row r="173" ht="15.75" customHeight="1">
      <c r="F173" s="32"/>
      <c r="J173" s="32"/>
    </row>
    <row r="174" ht="15.75" customHeight="1">
      <c r="F174" s="32"/>
      <c r="J174" s="32"/>
    </row>
    <row r="175" ht="15.75" customHeight="1">
      <c r="F175" s="32"/>
      <c r="J175" s="32"/>
    </row>
    <row r="176" ht="15.75" customHeight="1">
      <c r="F176" s="32"/>
      <c r="J176" s="32"/>
    </row>
    <row r="177" ht="15.75" customHeight="1">
      <c r="F177" s="32"/>
      <c r="J177" s="32"/>
    </row>
    <row r="178" ht="15.75" customHeight="1">
      <c r="F178" s="32"/>
      <c r="J178" s="32"/>
    </row>
    <row r="179" ht="15.75" customHeight="1">
      <c r="F179" s="32"/>
      <c r="J179" s="32"/>
    </row>
    <row r="180" ht="15.75" customHeight="1">
      <c r="F180" s="32"/>
      <c r="J180" s="32"/>
    </row>
    <row r="181" ht="15.75" customHeight="1">
      <c r="F181" s="32"/>
      <c r="J181" s="32"/>
    </row>
    <row r="182" ht="15.75" customHeight="1">
      <c r="F182" s="32"/>
      <c r="J182" s="32"/>
    </row>
    <row r="183" ht="15.75" customHeight="1">
      <c r="F183" s="32"/>
      <c r="J183" s="32"/>
    </row>
    <row r="184" ht="15.75" customHeight="1">
      <c r="F184" s="32"/>
      <c r="J184" s="32"/>
    </row>
    <row r="185" ht="15.75" customHeight="1">
      <c r="F185" s="32"/>
      <c r="J185" s="32"/>
    </row>
    <row r="186" ht="15.75" customHeight="1">
      <c r="F186" s="32"/>
      <c r="J186" s="32"/>
    </row>
    <row r="187" ht="15.75" customHeight="1">
      <c r="F187" s="32"/>
      <c r="J187" s="32"/>
    </row>
    <row r="188" ht="15.75" customHeight="1">
      <c r="F188" s="32"/>
      <c r="J188" s="32"/>
    </row>
    <row r="189" ht="15.75" customHeight="1">
      <c r="F189" s="32"/>
      <c r="J189" s="32"/>
    </row>
    <row r="190" ht="15.75" customHeight="1">
      <c r="F190" s="32"/>
      <c r="J190" s="32"/>
    </row>
    <row r="191" ht="15.75" customHeight="1">
      <c r="F191" s="32"/>
      <c r="J191" s="32"/>
    </row>
    <row r="192" ht="15.75" customHeight="1">
      <c r="F192" s="32"/>
      <c r="J192" s="32"/>
    </row>
    <row r="193" ht="15.75" customHeight="1">
      <c r="F193" s="32"/>
      <c r="J193" s="32"/>
    </row>
    <row r="194" ht="15.75" customHeight="1">
      <c r="F194" s="32"/>
      <c r="J194" s="32"/>
    </row>
    <row r="195" ht="15.75" customHeight="1">
      <c r="F195" s="32"/>
      <c r="J195" s="32"/>
    </row>
    <row r="196" ht="15.75" customHeight="1">
      <c r="F196" s="32"/>
      <c r="J196" s="32"/>
    </row>
    <row r="197" ht="15.75" customHeight="1">
      <c r="F197" s="32"/>
      <c r="J197" s="32"/>
    </row>
    <row r="198" ht="15.75" customHeight="1">
      <c r="F198" s="32"/>
      <c r="J198" s="32"/>
    </row>
    <row r="199" ht="15.75" customHeight="1">
      <c r="F199" s="32"/>
      <c r="J199" s="32"/>
    </row>
    <row r="200" ht="15.75" customHeight="1">
      <c r="F200" s="32"/>
      <c r="J200" s="32"/>
    </row>
    <row r="201" ht="15.75" customHeight="1">
      <c r="F201" s="32"/>
      <c r="J201" s="32"/>
    </row>
    <row r="202" ht="15.75" customHeight="1">
      <c r="F202" s="32"/>
      <c r="J202" s="32"/>
    </row>
    <row r="203" ht="15.75" customHeight="1">
      <c r="F203" s="32"/>
      <c r="J203" s="32"/>
    </row>
    <row r="204" ht="15.75" customHeight="1">
      <c r="F204" s="32"/>
      <c r="J204" s="32"/>
    </row>
    <row r="205" ht="15.75" customHeight="1">
      <c r="F205" s="32"/>
      <c r="J205" s="32"/>
    </row>
    <row r="206" ht="15.75" customHeight="1">
      <c r="F206" s="32"/>
      <c r="J206" s="32"/>
    </row>
    <row r="207" ht="15.75" customHeight="1">
      <c r="F207" s="32"/>
      <c r="J207" s="32"/>
    </row>
    <row r="208" ht="15.75" customHeight="1">
      <c r="F208" s="32"/>
      <c r="J208" s="32"/>
    </row>
    <row r="209" ht="15.75" customHeight="1">
      <c r="F209" s="32"/>
      <c r="J209" s="32"/>
    </row>
    <row r="210" ht="15.75" customHeight="1">
      <c r="F210" s="32"/>
      <c r="J210" s="32"/>
    </row>
    <row r="211" ht="15.75" customHeight="1">
      <c r="F211" s="32"/>
      <c r="J211" s="32"/>
    </row>
    <row r="212" ht="15.75" customHeight="1">
      <c r="F212" s="32"/>
      <c r="J212" s="32"/>
    </row>
    <row r="213" ht="15.75" customHeight="1">
      <c r="F213" s="32"/>
      <c r="J213" s="32"/>
    </row>
    <row r="214" ht="15.75" customHeight="1">
      <c r="F214" s="32"/>
      <c r="J214" s="32"/>
    </row>
    <row r="215" ht="15.75" customHeight="1">
      <c r="F215" s="32"/>
      <c r="J215" s="32"/>
    </row>
    <row r="216" ht="15.75" customHeight="1">
      <c r="F216" s="32"/>
      <c r="J216" s="32"/>
    </row>
    <row r="217" ht="15.75" customHeight="1">
      <c r="F217" s="32"/>
      <c r="J217" s="32"/>
    </row>
    <row r="218" ht="15.75" customHeight="1">
      <c r="F218" s="32"/>
      <c r="J218" s="32"/>
    </row>
    <row r="219" ht="15.75" customHeight="1">
      <c r="F219" s="32"/>
      <c r="J219" s="32"/>
    </row>
    <row r="220" ht="15.75" customHeight="1">
      <c r="F220" s="32"/>
      <c r="J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2:D2"/>
    <mergeCell ref="C3:C9"/>
    <mergeCell ref="D3:D9"/>
    <mergeCell ref="C10:C14"/>
    <mergeCell ref="D10:D14"/>
    <mergeCell ref="C15:C16"/>
    <mergeCell ref="D15:D16"/>
    <mergeCell ref="A18:E18"/>
    <mergeCell ref="A19:E19"/>
    <mergeCell ref="A1:B1"/>
    <mergeCell ref="C1:D1"/>
    <mergeCell ref="E1:F1"/>
    <mergeCell ref="A2:B2"/>
    <mergeCell ref="E2:F2"/>
    <mergeCell ref="A3:A17"/>
    <mergeCell ref="B3:B1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63"/>
    <col customWidth="1" min="2" max="2" width="16.5"/>
    <col customWidth="1" min="3" max="3" width="15.25"/>
    <col customWidth="1" min="4" max="5" width="12.75"/>
    <col customWidth="1" min="6" max="6" width="16.13"/>
    <col customWidth="1" min="7" max="7" width="15.88"/>
    <col customWidth="1" min="8" max="8" width="31.88"/>
  </cols>
  <sheetData>
    <row r="1" ht="15.75" customHeight="1">
      <c r="A1" s="16" t="s">
        <v>16</v>
      </c>
      <c r="B1" s="16" t="s">
        <v>4</v>
      </c>
      <c r="C1" s="16" t="s">
        <v>3</v>
      </c>
      <c r="D1" s="17" t="s">
        <v>9</v>
      </c>
      <c r="E1" s="16" t="s">
        <v>17</v>
      </c>
      <c r="F1" s="16" t="s">
        <v>18</v>
      </c>
      <c r="G1" s="16" t="s">
        <v>15</v>
      </c>
      <c r="H1" s="16" t="s">
        <v>19</v>
      </c>
    </row>
    <row r="2" ht="15.75" customHeight="1">
      <c r="A2" s="19">
        <v>46270.0</v>
      </c>
      <c r="B2" s="20" t="s">
        <v>10</v>
      </c>
      <c r="C2" s="21" t="str">
        <f t="array" ref="C2">IF($B2="","",IFERROR(INDEX(Estimasi!$I$2:$I$1000,MATCH($B2,Estimasi!$H$2:$H$1000,0)),""))</f>
        <v>Need</v>
      </c>
      <c r="D2" s="22">
        <f t="array" ref="D2">IF($C2="","",IFERROR(INDEX(Estimasi!$M$2:$M$1000,MATCH($C2,Estimasi!$L$2:$L$1000,0)),""))</f>
        <v>1985681</v>
      </c>
      <c r="E2" s="23">
        <v>16000.0</v>
      </c>
      <c r="F2" s="22">
        <f t="shared" ref="F2:F20" si="1">IF(C2="","",D2-SUMIF($C$2:C2,C2,$E$2:E2))</f>
        <v>1969681</v>
      </c>
      <c r="G2" s="21" t="str">
        <f t="shared" ref="G2:G12" si="2">IF(C2="","",IF(F2&lt;0,"Over Budget",IF(F2/D2&lt;=20%,"Mendekati Batas","Aman")))</f>
        <v>Aman</v>
      </c>
      <c r="H2" s="20" t="s">
        <v>24</v>
      </c>
    </row>
    <row r="3" ht="15.75" customHeight="1">
      <c r="A3" s="19">
        <v>46270.0</v>
      </c>
      <c r="B3" s="20" t="s">
        <v>10</v>
      </c>
      <c r="C3" s="21" t="str">
        <f t="array" ref="C3">IF($B3="","",IFERROR(INDEX(Estimasi!$I$2:$I$1000,MATCH($B3,Estimasi!$H$2:$H$1000,0)),""))</f>
        <v>Need</v>
      </c>
      <c r="D3" s="22">
        <f t="array" ref="D3">IF($C3="","",IFERROR(INDEX(Estimasi!$M$2:$M$1000,MATCH($C3,Estimasi!$L$2:$L$1000,0)),""))</f>
        <v>1985681</v>
      </c>
      <c r="E3" s="23">
        <v>4000.0</v>
      </c>
      <c r="F3" s="22">
        <f t="shared" si="1"/>
        <v>1965681</v>
      </c>
      <c r="G3" s="21" t="str">
        <f t="shared" si="2"/>
        <v>Aman</v>
      </c>
      <c r="H3" s="20" t="s">
        <v>34</v>
      </c>
    </row>
    <row r="4" ht="15.75" customHeight="1">
      <c r="A4" s="19">
        <v>46270.0</v>
      </c>
      <c r="B4" s="20" t="s">
        <v>27</v>
      </c>
      <c r="C4" s="21" t="str">
        <f t="array" ref="C4">IF($B4="","",IFERROR(INDEX(Estimasi!$I$2:$I$1000,MATCH($B4,Estimasi!$H$2:$H$1000,0)),""))</f>
        <v>Need</v>
      </c>
      <c r="D4" s="22">
        <f t="array" ref="D4">IF($C4="","",IFERROR(INDEX(Estimasi!$M$2:$M$1000,MATCH($C4,Estimasi!$L$2:$L$1000,0)),""))</f>
        <v>1985681</v>
      </c>
      <c r="E4" s="23">
        <v>30000.0</v>
      </c>
      <c r="F4" s="22">
        <f t="shared" si="1"/>
        <v>1935681</v>
      </c>
      <c r="G4" s="21" t="str">
        <f t="shared" si="2"/>
        <v>Aman</v>
      </c>
      <c r="H4" s="20" t="s">
        <v>41</v>
      </c>
    </row>
    <row r="5" ht="15.75" customHeight="1">
      <c r="A5" s="19">
        <v>46271.0</v>
      </c>
      <c r="B5" s="20" t="s">
        <v>10</v>
      </c>
      <c r="C5" s="21" t="str">
        <f t="array" ref="C5">IF($B5="","",IFERROR(INDEX(Estimasi!$I$2:$I$1000,MATCH($B5,Estimasi!$H$2:$H$1000,0)),""))</f>
        <v>Need</v>
      </c>
      <c r="D5" s="22">
        <f t="array" ref="D5">IF($C5="","",IFERROR(INDEX(Estimasi!$M$2:$M$1000,MATCH($C5,Estimasi!$L$2:$L$1000,0)),""))</f>
        <v>1985681</v>
      </c>
      <c r="E5" s="23">
        <v>8000.0</v>
      </c>
      <c r="F5" s="22">
        <f t="shared" si="1"/>
        <v>1927681</v>
      </c>
      <c r="G5" s="21" t="str">
        <f t="shared" si="2"/>
        <v>Aman</v>
      </c>
      <c r="H5" s="20" t="s">
        <v>45</v>
      </c>
    </row>
    <row r="6" ht="15.75" customHeight="1">
      <c r="A6" s="19">
        <v>46271.0</v>
      </c>
      <c r="B6" s="20" t="s">
        <v>37</v>
      </c>
      <c r="C6" s="21" t="str">
        <f t="array" ref="C6">IF($B6="","",IFERROR(INDEX(Estimasi!$I$2:$I$1000,MATCH($B6,Estimasi!$H$2:$H$1000,0)),""))</f>
        <v>Fun</v>
      </c>
      <c r="D6" s="22">
        <f t="array" ref="D6">IF($C6="","",IFERROR(INDEX(Estimasi!$M$2:$M$1000,MATCH($C6,Estimasi!$L$2:$L$1000,0)),""))</f>
        <v>1191408.6</v>
      </c>
      <c r="E6" s="23">
        <v>11500.0</v>
      </c>
      <c r="F6" s="22">
        <f t="shared" si="1"/>
        <v>1179908.6</v>
      </c>
      <c r="G6" s="21" t="str">
        <f t="shared" si="2"/>
        <v>Aman</v>
      </c>
      <c r="H6" s="20" t="s">
        <v>46</v>
      </c>
    </row>
    <row r="7" ht="15.75" customHeight="1">
      <c r="A7" s="19">
        <v>46271.0</v>
      </c>
      <c r="B7" s="20" t="s">
        <v>10</v>
      </c>
      <c r="C7" s="21" t="str">
        <f t="array" ref="C7">IF($B7="","",IFERROR(INDEX(Estimasi!$I$2:$I$1000,MATCH($B7,Estimasi!$H$2:$H$1000,0)),""))</f>
        <v>Need</v>
      </c>
      <c r="D7" s="22">
        <f t="array" ref="D7">IF($C7="","",IFERROR(INDEX(Estimasi!$M$2:$M$1000,MATCH($C7,Estimasi!$L$2:$L$1000,0)),""))</f>
        <v>1985681</v>
      </c>
      <c r="E7" s="23">
        <v>4000.0</v>
      </c>
      <c r="F7" s="22">
        <f t="shared" si="1"/>
        <v>1923681</v>
      </c>
      <c r="G7" s="21" t="str">
        <f t="shared" si="2"/>
        <v>Aman</v>
      </c>
      <c r="H7" s="20" t="s">
        <v>47</v>
      </c>
    </row>
    <row r="8" ht="15.75" customHeight="1">
      <c r="A8" s="19">
        <v>46272.0</v>
      </c>
      <c r="B8" s="20" t="s">
        <v>10</v>
      </c>
      <c r="C8" s="21" t="str">
        <f t="array" ref="C8">IF($B8="","",IFERROR(INDEX(Estimasi!$I$2:$I$1000,MATCH($B8,Estimasi!$H$2:$H$1000,0)),""))</f>
        <v>Need</v>
      </c>
      <c r="D8" s="22">
        <f t="array" ref="D8">IF($C8="","",IFERROR(INDEX(Estimasi!$M$2:$M$1000,MATCH($C8,Estimasi!$L$2:$L$1000,0)),""))</f>
        <v>1985681</v>
      </c>
      <c r="E8" s="23">
        <v>16000.0</v>
      </c>
      <c r="F8" s="22">
        <f t="shared" si="1"/>
        <v>1907681</v>
      </c>
      <c r="G8" s="21" t="str">
        <f t="shared" si="2"/>
        <v>Aman</v>
      </c>
      <c r="H8" s="20" t="s">
        <v>48</v>
      </c>
    </row>
    <row r="9" ht="15.75" customHeight="1">
      <c r="A9" s="19">
        <v>46272.0</v>
      </c>
      <c r="B9" s="20" t="s">
        <v>10</v>
      </c>
      <c r="C9" s="21" t="str">
        <f t="array" ref="C9">IF($B9="","",IFERROR(INDEX(Estimasi!$I$2:$I$1000,MATCH($B9,Estimasi!$H$2:$H$1000,0)),""))</f>
        <v>Need</v>
      </c>
      <c r="D9" s="22">
        <f t="array" ref="D9">IF($C9="","",IFERROR(INDEX(Estimasi!$M$2:$M$1000,MATCH($C9,Estimasi!$L$2:$L$1000,0)),""))</f>
        <v>1985681</v>
      </c>
      <c r="E9" s="23">
        <v>4000.0</v>
      </c>
      <c r="F9" s="22">
        <f t="shared" si="1"/>
        <v>1903681</v>
      </c>
      <c r="G9" s="21" t="str">
        <f t="shared" si="2"/>
        <v>Aman</v>
      </c>
      <c r="H9" s="20" t="s">
        <v>49</v>
      </c>
    </row>
    <row r="10" ht="15.75" customHeight="1">
      <c r="A10" s="19">
        <v>46272.0</v>
      </c>
      <c r="B10" s="20" t="s">
        <v>10</v>
      </c>
      <c r="C10" s="21" t="str">
        <f t="array" ref="C10">IF($B10="","",IFERROR(INDEX(Estimasi!$I$2:$I$1000,MATCH($B10,Estimasi!$H$2:$H$1000,0)),""))</f>
        <v>Need</v>
      </c>
      <c r="D10" s="22">
        <f t="array" ref="D10">IF($C10="","",IFERROR(INDEX(Estimasi!$M$2:$M$1000,MATCH($C10,Estimasi!$L$2:$L$1000,0)),""))</f>
        <v>1985681</v>
      </c>
      <c r="E10" s="23">
        <v>15000.0</v>
      </c>
      <c r="F10" s="22">
        <f t="shared" si="1"/>
        <v>1888681</v>
      </c>
      <c r="G10" s="21" t="str">
        <f t="shared" si="2"/>
        <v>Aman</v>
      </c>
      <c r="H10" s="20" t="s">
        <v>50</v>
      </c>
    </row>
    <row r="11" ht="15.75" customHeight="1">
      <c r="A11" s="19">
        <v>46272.0</v>
      </c>
      <c r="B11" s="20" t="s">
        <v>10</v>
      </c>
      <c r="C11" s="21" t="str">
        <f t="array" ref="C11">IF($B11="","",IFERROR(INDEX(Estimasi!$I$2:$I$1000,MATCH($B11,Estimasi!$H$2:$H$1000,0)),""))</f>
        <v>Need</v>
      </c>
      <c r="D11" s="22">
        <f t="array" ref="D11">IF($C11="","",IFERROR(INDEX(Estimasi!$M$2:$M$1000,MATCH($C11,Estimasi!$L$2:$L$1000,0)),""))</f>
        <v>1985681</v>
      </c>
      <c r="E11" s="23">
        <v>6000.0</v>
      </c>
      <c r="F11" s="22">
        <f t="shared" si="1"/>
        <v>1882681</v>
      </c>
      <c r="G11" s="21" t="str">
        <f t="shared" si="2"/>
        <v>Aman</v>
      </c>
      <c r="H11" s="20" t="s">
        <v>51</v>
      </c>
    </row>
    <row r="12" ht="15.75" customHeight="1">
      <c r="A12" s="19">
        <v>46272.0</v>
      </c>
      <c r="B12" s="20" t="s">
        <v>10</v>
      </c>
      <c r="C12" s="21" t="str">
        <f t="array" ref="C12">IF($B12="","",IFERROR(INDEX(Estimasi!$I$2:$I$1000,MATCH($B12,Estimasi!$H$2:$H$1000,0)),""))</f>
        <v>Need</v>
      </c>
      <c r="D12" s="22">
        <f t="array" ref="D12">IF($C12="","",IFERROR(INDEX(Estimasi!$M$2:$M$1000,MATCH($C12,Estimasi!$L$2:$L$1000,0)),""))</f>
        <v>1985681</v>
      </c>
      <c r="E12" s="23">
        <v>7500.0</v>
      </c>
      <c r="F12" s="22">
        <f t="shared" si="1"/>
        <v>1875181</v>
      </c>
      <c r="G12" s="21" t="str">
        <f t="shared" si="2"/>
        <v>Aman</v>
      </c>
      <c r="H12" s="20" t="s">
        <v>52</v>
      </c>
    </row>
    <row r="13" ht="15.75" customHeight="1">
      <c r="A13" s="41">
        <v>46272.0</v>
      </c>
      <c r="B13" s="42" t="s">
        <v>10</v>
      </c>
      <c r="C13" s="43" t="str">
        <f t="array" ref="C13">IF($B13="","",IFERROR(INDEX(Estimasi!$I$2:$I$1000,MATCH($B13,Estimasi!$H$2:$H$1000,0)),""))</f>
        <v>Need</v>
      </c>
      <c r="D13" s="44">
        <f t="array" ref="D13">IF($C13="","",IFERROR(INDEX(Estimasi!$M$2:$M$1000,MATCH($C13,Estimasi!$L$2:$L$1000,0)),""))</f>
        <v>1985681</v>
      </c>
      <c r="E13" s="45">
        <v>3800.0</v>
      </c>
      <c r="F13" s="44">
        <f t="shared" si="1"/>
        <v>1871381</v>
      </c>
      <c r="G13" s="46" t="str">
        <f t="shared" ref="G13:G20" si="3">IF(C13="","",IF(F13&lt;0,"Over Budget",IF(F13/D13&lt;=20%,"Mendekati Batas","Aman")))</f>
        <v>Aman</v>
      </c>
      <c r="H13" s="47" t="s">
        <v>53</v>
      </c>
    </row>
    <row r="14" ht="15.75" customHeight="1">
      <c r="A14" s="48">
        <v>46273.0</v>
      </c>
      <c r="B14" s="42" t="s">
        <v>10</v>
      </c>
      <c r="C14" s="43" t="str">
        <f t="array" ref="C14">IF($B14="","",IFERROR(INDEX(Estimasi!$I$2:$I$1000,MATCH($B14,Estimasi!$H$2:$H$1000,0)),""))</f>
        <v>Need</v>
      </c>
      <c r="D14" s="44">
        <f t="array" ref="D14">IF($C14="","",IFERROR(INDEX(Estimasi!$M$2:$M$1000,MATCH($C14,Estimasi!$L$2:$L$1000,0)),""))</f>
        <v>1985681</v>
      </c>
      <c r="E14" s="45">
        <v>13000.0</v>
      </c>
      <c r="F14" s="44">
        <f t="shared" si="1"/>
        <v>1858381</v>
      </c>
      <c r="G14" s="46" t="str">
        <f t="shared" si="3"/>
        <v>Aman</v>
      </c>
      <c r="H14" s="47" t="s">
        <v>54</v>
      </c>
    </row>
    <row r="15" ht="15.75" customHeight="1">
      <c r="A15" s="48">
        <v>46273.0</v>
      </c>
      <c r="B15" s="42" t="s">
        <v>10</v>
      </c>
      <c r="C15" s="43" t="str">
        <f t="array" ref="C15">IF($B15="","",IFERROR(INDEX(Estimasi!$I$2:$I$1000,MATCH($B15,Estimasi!$H$2:$H$1000,0)),""))</f>
        <v>Need</v>
      </c>
      <c r="D15" s="44">
        <f t="array" ref="D15">IF($C15="","",IFERROR(INDEX(Estimasi!$M$2:$M$1000,MATCH($C15,Estimasi!$L$2:$L$1000,0)),""))</f>
        <v>1985681</v>
      </c>
      <c r="E15" s="45">
        <v>15000.0</v>
      </c>
      <c r="F15" s="44">
        <f t="shared" si="1"/>
        <v>1843381</v>
      </c>
      <c r="G15" s="46" t="str">
        <f t="shared" si="3"/>
        <v>Aman</v>
      </c>
      <c r="H15" s="47" t="s">
        <v>55</v>
      </c>
    </row>
    <row r="16" ht="15.75" customHeight="1">
      <c r="A16" s="48">
        <v>46273.0</v>
      </c>
      <c r="B16" s="42" t="s">
        <v>10</v>
      </c>
      <c r="C16" s="43" t="str">
        <f t="array" ref="C16">IF($B16="","",IFERROR(INDEX(Estimasi!$I$2:$I$1000,MATCH($B16,Estimasi!$H$2:$H$1000,0)),""))</f>
        <v>Need</v>
      </c>
      <c r="D16" s="44">
        <f t="array" ref="D16">IF($C16="","",IFERROR(INDEX(Estimasi!$M$2:$M$1000,MATCH($C16,Estimasi!$L$2:$L$1000,0)),""))</f>
        <v>1985681</v>
      </c>
      <c r="E16" s="45">
        <v>4000.0</v>
      </c>
      <c r="F16" s="44">
        <f t="shared" si="1"/>
        <v>1839381</v>
      </c>
      <c r="G16" s="46" t="str">
        <f t="shared" si="3"/>
        <v>Aman</v>
      </c>
      <c r="H16" s="47" t="s">
        <v>49</v>
      </c>
    </row>
    <row r="17" ht="15.75" customHeight="1">
      <c r="A17" s="48">
        <v>46273.0</v>
      </c>
      <c r="B17" s="49" t="s">
        <v>29</v>
      </c>
      <c r="C17" s="43" t="str">
        <f t="array" ref="C17">IF($B17="","",IFERROR(INDEX(Estimasi!$I$2:$I$1000,MATCH($B17,Estimasi!$H$2:$H$1000,0)),""))</f>
        <v>Need</v>
      </c>
      <c r="D17" s="44">
        <f t="array" ref="D17">IF($C17="","",IFERROR(INDEX(Estimasi!$M$2:$M$1000,MATCH($C17,Estimasi!$L$2:$L$1000,0)),""))</f>
        <v>1985681</v>
      </c>
      <c r="E17" s="45">
        <v>25000.0</v>
      </c>
      <c r="F17" s="44">
        <f t="shared" si="1"/>
        <v>1814381</v>
      </c>
      <c r="G17" s="46" t="str">
        <f t="shared" si="3"/>
        <v>Aman</v>
      </c>
      <c r="H17" s="47" t="s">
        <v>56</v>
      </c>
    </row>
    <row r="18" ht="15.75" customHeight="1">
      <c r="A18" s="48">
        <v>46273.0</v>
      </c>
      <c r="B18" s="49" t="s">
        <v>37</v>
      </c>
      <c r="C18" s="43" t="str">
        <f t="array" ref="C18">IF($B18="","",IFERROR(INDEX(Estimasi!$I$2:$I$1000,MATCH($B18,Estimasi!$H$2:$H$1000,0)),""))</f>
        <v>Fun</v>
      </c>
      <c r="D18" s="44">
        <f t="array" ref="D18">IF($C18="","",IFERROR(INDEX(Estimasi!$M$2:$M$1000,MATCH($C18,Estimasi!$L$2:$L$1000,0)),""))</f>
        <v>1191408.6</v>
      </c>
      <c r="E18" s="45">
        <v>69169.0</v>
      </c>
      <c r="F18" s="44">
        <f t="shared" si="1"/>
        <v>1110739.6</v>
      </c>
      <c r="G18" s="46" t="str">
        <f t="shared" si="3"/>
        <v>Aman</v>
      </c>
      <c r="H18" s="47" t="s">
        <v>57</v>
      </c>
    </row>
    <row r="19" ht="15.75" customHeight="1">
      <c r="A19" s="48">
        <v>46273.0</v>
      </c>
      <c r="B19" s="49" t="s">
        <v>37</v>
      </c>
      <c r="C19" s="43" t="str">
        <f t="array" ref="C19">IF($B19="","",IFERROR(INDEX(Estimasi!$I$2:$I$1000,MATCH($B19,Estimasi!$H$2:$H$1000,0)),""))</f>
        <v>Fun</v>
      </c>
      <c r="D19" s="44">
        <f t="array" ref="D19">IF($C19="","",IFERROR(INDEX(Estimasi!$M$2:$M$1000,MATCH($C19,Estimasi!$L$2:$L$1000,0)),""))</f>
        <v>1191408.6</v>
      </c>
      <c r="E19" s="45">
        <v>282731.0</v>
      </c>
      <c r="F19" s="44">
        <f t="shared" si="1"/>
        <v>828008.6</v>
      </c>
      <c r="G19" s="46" t="str">
        <f t="shared" si="3"/>
        <v>Aman</v>
      </c>
      <c r="H19" s="47" t="s">
        <v>58</v>
      </c>
    </row>
    <row r="20" ht="15.75" customHeight="1">
      <c r="A20" s="48">
        <v>46273.0</v>
      </c>
      <c r="B20" s="49" t="s">
        <v>37</v>
      </c>
      <c r="C20" s="43" t="str">
        <f t="array" ref="C20">IF($B20="","",IFERROR(INDEX(Estimasi!$I$2:$I$1000,MATCH($B20,Estimasi!$H$2:$H$1000,0)),""))</f>
        <v>Fun</v>
      </c>
      <c r="D20" s="44">
        <f t="array" ref="D20">IF($C20="","",IFERROR(INDEX(Estimasi!$M$2:$M$1000,MATCH($C20,Estimasi!$L$2:$L$1000,0)),""))</f>
        <v>1191408.6</v>
      </c>
      <c r="E20" s="45"/>
      <c r="F20" s="44">
        <f t="shared" si="1"/>
        <v>828008.6</v>
      </c>
      <c r="G20" s="46" t="str">
        <f t="shared" si="3"/>
        <v>Aman</v>
      </c>
      <c r="H20" s="47"/>
    </row>
    <row r="21" ht="15.75" customHeight="1">
      <c r="A21" s="50"/>
      <c r="B21" s="20"/>
      <c r="C21" s="21"/>
      <c r="D21" s="22"/>
      <c r="E21" s="23"/>
      <c r="F21" s="22"/>
      <c r="G21" s="21"/>
    </row>
    <row r="22" ht="15.75" customHeight="1">
      <c r="A22" s="50"/>
      <c r="B22" s="20"/>
      <c r="C22" s="21"/>
      <c r="D22" s="22"/>
      <c r="E22" s="23"/>
      <c r="F22" s="22"/>
      <c r="G22" s="21"/>
    </row>
    <row r="23" ht="15.75" customHeight="1">
      <c r="A23" s="50"/>
      <c r="B23" s="20"/>
      <c r="C23" s="21"/>
      <c r="D23" s="22"/>
      <c r="E23" s="23"/>
      <c r="F23" s="22"/>
      <c r="G23" s="21"/>
    </row>
    <row r="24" ht="15.75" customHeight="1">
      <c r="A24" s="50"/>
      <c r="B24" s="20"/>
      <c r="C24" s="21"/>
      <c r="D24" s="22"/>
      <c r="E24" s="23"/>
      <c r="F24" s="22"/>
      <c r="G24" s="21"/>
    </row>
    <row r="25" ht="15.75" customHeight="1">
      <c r="A25" s="50"/>
      <c r="B25" s="20"/>
      <c r="C25" s="21"/>
      <c r="D25" s="22"/>
      <c r="E25" s="23"/>
      <c r="F25" s="22"/>
      <c r="G25" s="21"/>
    </row>
    <row r="26" ht="15.75" customHeight="1">
      <c r="A26" s="50"/>
      <c r="B26" s="20"/>
      <c r="C26" s="21"/>
      <c r="D26" s="22"/>
      <c r="E26" s="23"/>
      <c r="F26" s="22"/>
      <c r="G26" s="21"/>
    </row>
    <row r="27" ht="15.75" customHeight="1">
      <c r="A27" s="50"/>
      <c r="B27" s="20"/>
      <c r="C27" s="21"/>
      <c r="D27" s="22"/>
      <c r="E27" s="23"/>
      <c r="F27" s="22"/>
      <c r="G27" s="21"/>
    </row>
    <row r="28" ht="15.75" customHeight="1">
      <c r="A28" s="50"/>
      <c r="B28" s="20"/>
      <c r="C28" s="21"/>
      <c r="D28" s="22"/>
      <c r="E28" s="23"/>
      <c r="F28" s="22"/>
      <c r="G28" s="21"/>
    </row>
    <row r="29" ht="15.75" customHeight="1">
      <c r="A29" s="50"/>
      <c r="B29" s="20"/>
      <c r="C29" s="21"/>
      <c r="D29" s="22"/>
      <c r="E29" s="23"/>
      <c r="F29" s="22"/>
      <c r="G29" s="21"/>
    </row>
    <row r="30" ht="15.75" customHeight="1">
      <c r="A30" s="50"/>
      <c r="B30" s="20"/>
      <c r="C30" s="21"/>
      <c r="D30" s="22"/>
      <c r="E30" s="23"/>
      <c r="F30" s="22"/>
      <c r="G30" s="21"/>
    </row>
    <row r="31" ht="15.75" customHeight="1">
      <c r="A31" s="50"/>
      <c r="B31" s="20"/>
      <c r="C31" s="21"/>
      <c r="D31" s="22"/>
      <c r="E31" s="23"/>
      <c r="F31" s="22"/>
      <c r="G31" s="21"/>
    </row>
    <row r="32" ht="15.75" customHeight="1">
      <c r="A32" s="50"/>
      <c r="B32" s="20"/>
      <c r="C32" s="21"/>
      <c r="D32" s="22"/>
      <c r="E32" s="23"/>
      <c r="F32" s="22"/>
      <c r="G32" s="21"/>
    </row>
    <row r="33" ht="15.75" customHeight="1">
      <c r="A33" s="50"/>
      <c r="B33" s="20"/>
      <c r="C33" s="21"/>
      <c r="D33" s="22"/>
      <c r="E33" s="23"/>
      <c r="F33" s="22"/>
      <c r="G33" s="21"/>
    </row>
    <row r="34" ht="15.75" customHeight="1">
      <c r="A34" s="50"/>
      <c r="B34" s="20"/>
      <c r="C34" s="21"/>
      <c r="D34" s="22"/>
      <c r="E34" s="23"/>
      <c r="F34" s="22"/>
      <c r="G34" s="21"/>
    </row>
    <row r="35" ht="15.75" customHeight="1">
      <c r="A35" s="50"/>
      <c r="B35" s="20"/>
      <c r="C35" s="21"/>
      <c r="D35" s="22"/>
      <c r="E35" s="23"/>
      <c r="F35" s="22"/>
      <c r="G35" s="21"/>
    </row>
    <row r="36" ht="15.75" customHeight="1">
      <c r="A36" s="50"/>
      <c r="B36" s="20"/>
      <c r="C36" s="21"/>
      <c r="D36" s="22"/>
      <c r="E36" s="23"/>
      <c r="F36" s="22"/>
      <c r="G36" s="21"/>
    </row>
    <row r="37" ht="15.75" customHeight="1">
      <c r="A37" s="50"/>
      <c r="B37" s="20"/>
      <c r="C37" s="21"/>
      <c r="D37" s="22"/>
      <c r="E37" s="23"/>
      <c r="F37" s="22"/>
      <c r="G37" s="21"/>
    </row>
    <row r="38" ht="15.75" customHeight="1">
      <c r="A38" s="50"/>
      <c r="B38" s="20"/>
      <c r="C38" s="21"/>
      <c r="D38" s="22"/>
      <c r="E38" s="23"/>
      <c r="F38" s="22"/>
      <c r="G38" s="21"/>
    </row>
    <row r="39" ht="15.75" customHeight="1">
      <c r="A39" s="50"/>
      <c r="B39" s="20"/>
      <c r="C39" s="21"/>
      <c r="D39" s="22"/>
      <c r="E39" s="23"/>
      <c r="F39" s="22"/>
      <c r="G39" s="21"/>
    </row>
    <row r="40" ht="15.75" customHeight="1">
      <c r="A40" s="50"/>
      <c r="B40" s="20"/>
      <c r="C40" s="21"/>
      <c r="D40" s="22"/>
      <c r="E40" s="23"/>
      <c r="F40" s="22"/>
      <c r="G40" s="21"/>
    </row>
    <row r="41" ht="15.75" customHeight="1">
      <c r="A41" s="50"/>
      <c r="B41" s="20"/>
      <c r="C41" s="21"/>
      <c r="D41" s="22"/>
      <c r="E41" s="23"/>
      <c r="F41" s="22"/>
      <c r="G41" s="21"/>
    </row>
    <row r="42" ht="15.75" customHeight="1">
      <c r="A42" s="50"/>
      <c r="B42" s="20"/>
      <c r="C42" s="21"/>
      <c r="D42" s="22"/>
      <c r="E42" s="23"/>
      <c r="F42" s="22"/>
      <c r="G42" s="21"/>
    </row>
    <row r="43" ht="15.75" customHeight="1">
      <c r="A43" s="50"/>
      <c r="B43" s="20"/>
      <c r="C43" s="21"/>
      <c r="D43" s="22"/>
      <c r="E43" s="23"/>
      <c r="F43" s="22"/>
      <c r="G43" s="21"/>
    </row>
    <row r="44" ht="15.75" customHeight="1">
      <c r="A44" s="50"/>
      <c r="B44" s="20"/>
      <c r="C44" s="21"/>
      <c r="D44" s="22"/>
      <c r="E44" s="23"/>
      <c r="F44" s="22"/>
      <c r="G44" s="21"/>
    </row>
    <row r="45" ht="15.75" customHeight="1">
      <c r="A45" s="50"/>
      <c r="B45" s="20"/>
      <c r="C45" s="21"/>
      <c r="D45" s="22"/>
      <c r="E45" s="23"/>
      <c r="F45" s="22"/>
      <c r="G45" s="21"/>
    </row>
    <row r="46" ht="15.75" customHeight="1">
      <c r="A46" s="50"/>
      <c r="B46" s="20"/>
      <c r="C46" s="21"/>
      <c r="D46" s="22"/>
      <c r="E46" s="23"/>
      <c r="F46" s="22"/>
      <c r="G46" s="21"/>
    </row>
    <row r="47" ht="15.75" customHeight="1">
      <c r="A47" s="50"/>
      <c r="B47" s="20"/>
      <c r="C47" s="21"/>
      <c r="D47" s="22"/>
      <c r="E47" s="23"/>
      <c r="F47" s="22"/>
      <c r="G47" s="21"/>
    </row>
    <row r="48" ht="15.75" customHeight="1">
      <c r="A48" s="50"/>
      <c r="B48" s="20"/>
      <c r="C48" s="21"/>
      <c r="D48" s="22"/>
      <c r="E48" s="23"/>
      <c r="F48" s="22"/>
      <c r="G48" s="21"/>
    </row>
    <row r="49" ht="15.75" customHeight="1">
      <c r="A49" s="50"/>
      <c r="B49" s="20"/>
      <c r="C49" s="21"/>
      <c r="D49" s="22"/>
      <c r="E49" s="23"/>
      <c r="F49" s="22"/>
      <c r="G49" s="21"/>
    </row>
    <row r="50" ht="15.75" customHeight="1">
      <c r="A50" s="50"/>
      <c r="B50" s="20"/>
      <c r="C50" s="21"/>
      <c r="D50" s="22"/>
      <c r="E50" s="23"/>
      <c r="F50" s="22"/>
      <c r="G50" s="21"/>
    </row>
    <row r="51" ht="15.75" customHeight="1">
      <c r="A51" s="50"/>
      <c r="B51" s="20"/>
      <c r="C51" s="21"/>
      <c r="D51" s="22"/>
      <c r="E51" s="23"/>
      <c r="F51" s="22"/>
      <c r="G51" s="21"/>
    </row>
    <row r="52" ht="15.75" customHeight="1">
      <c r="A52" s="50"/>
      <c r="B52" s="20"/>
      <c r="C52" s="21"/>
      <c r="D52" s="22"/>
      <c r="E52" s="23"/>
      <c r="F52" s="22"/>
      <c r="G52" s="21"/>
    </row>
    <row r="53" ht="15.75" customHeight="1">
      <c r="A53" s="50"/>
      <c r="B53" s="20"/>
      <c r="C53" s="21"/>
      <c r="D53" s="22"/>
      <c r="E53" s="23"/>
      <c r="F53" s="22"/>
      <c r="G53" s="21"/>
    </row>
    <row r="54" ht="15.75" customHeight="1">
      <c r="A54" s="50"/>
      <c r="B54" s="20"/>
      <c r="C54" s="21"/>
      <c r="D54" s="22"/>
      <c r="E54" s="23"/>
      <c r="F54" s="22"/>
      <c r="G54" s="21"/>
    </row>
    <row r="55" ht="15.75" customHeight="1">
      <c r="A55" s="50"/>
      <c r="B55" s="20"/>
      <c r="C55" s="21"/>
      <c r="D55" s="22"/>
      <c r="E55" s="23"/>
      <c r="F55" s="22"/>
      <c r="G55" s="21"/>
    </row>
    <row r="56" ht="15.75" customHeight="1">
      <c r="A56" s="50"/>
      <c r="B56" s="20"/>
      <c r="C56" s="21"/>
      <c r="D56" s="22"/>
      <c r="E56" s="23"/>
      <c r="F56" s="22"/>
      <c r="G56" s="21"/>
    </row>
    <row r="57" ht="15.75" customHeight="1">
      <c r="A57" s="50"/>
      <c r="B57" s="20"/>
      <c r="C57" s="21"/>
      <c r="D57" s="22"/>
      <c r="E57" s="23"/>
      <c r="F57" s="22"/>
      <c r="G57" s="21"/>
    </row>
    <row r="58" ht="15.75" customHeight="1">
      <c r="A58" s="50"/>
      <c r="B58" s="20"/>
      <c r="C58" s="21"/>
      <c r="D58" s="22"/>
      <c r="E58" s="23"/>
      <c r="F58" s="22"/>
      <c r="G58" s="21"/>
    </row>
    <row r="59" ht="15.75" customHeight="1">
      <c r="A59" s="50"/>
      <c r="B59" s="20"/>
      <c r="C59" s="21"/>
      <c r="D59" s="22"/>
      <c r="E59" s="23"/>
      <c r="F59" s="22"/>
      <c r="G59" s="21"/>
    </row>
    <row r="60" ht="15.75" customHeight="1">
      <c r="A60" s="50"/>
      <c r="B60" s="20"/>
      <c r="C60" s="21"/>
      <c r="D60" s="22"/>
      <c r="E60" s="23"/>
      <c r="F60" s="22"/>
      <c r="G60" s="21"/>
    </row>
    <row r="61" ht="15.75" customHeight="1">
      <c r="A61" s="50"/>
      <c r="B61" s="20"/>
      <c r="C61" s="21"/>
      <c r="D61" s="22"/>
      <c r="E61" s="23"/>
      <c r="F61" s="22"/>
      <c r="G61" s="21"/>
    </row>
    <row r="62" ht="15.75" customHeight="1">
      <c r="A62" s="50"/>
      <c r="B62" s="20"/>
      <c r="C62" s="21"/>
      <c r="D62" s="22"/>
      <c r="E62" s="23"/>
      <c r="F62" s="22"/>
      <c r="G62" s="21"/>
    </row>
    <row r="63" ht="15.75" customHeight="1">
      <c r="A63" s="50"/>
      <c r="B63" s="20"/>
      <c r="C63" s="21"/>
      <c r="D63" s="22"/>
      <c r="E63" s="23"/>
      <c r="F63" s="22"/>
      <c r="G63" s="21"/>
    </row>
    <row r="64" ht="15.75" customHeight="1">
      <c r="A64" s="50"/>
      <c r="B64" s="20"/>
      <c r="C64" s="21"/>
      <c r="D64" s="22"/>
      <c r="E64" s="23"/>
      <c r="F64" s="22"/>
      <c r="G64" s="21"/>
    </row>
    <row r="65" ht="15.75" customHeight="1">
      <c r="A65" s="50"/>
      <c r="B65" s="20"/>
      <c r="C65" s="21"/>
      <c r="D65" s="22"/>
      <c r="E65" s="23"/>
      <c r="F65" s="22"/>
      <c r="G65" s="21"/>
    </row>
    <row r="66" ht="15.75" customHeight="1">
      <c r="A66" s="50"/>
      <c r="B66" s="20"/>
      <c r="C66" s="21"/>
      <c r="D66" s="22"/>
      <c r="E66" s="23"/>
      <c r="F66" s="22"/>
      <c r="G66" s="21"/>
    </row>
    <row r="67" ht="15.75" customHeight="1">
      <c r="A67" s="50"/>
      <c r="B67" s="20"/>
      <c r="C67" s="21"/>
      <c r="D67" s="22"/>
      <c r="E67" s="23"/>
      <c r="F67" s="22"/>
      <c r="G67" s="21"/>
    </row>
    <row r="68" ht="15.75" customHeight="1">
      <c r="A68" s="50"/>
      <c r="B68" s="20"/>
      <c r="C68" s="21"/>
      <c r="D68" s="22"/>
      <c r="E68" s="23"/>
      <c r="F68" s="22"/>
      <c r="G68" s="21"/>
    </row>
    <row r="69" ht="15.75" customHeight="1">
      <c r="A69" s="50"/>
      <c r="B69" s="20"/>
      <c r="C69" s="21"/>
      <c r="D69" s="22"/>
      <c r="E69" s="23"/>
      <c r="F69" s="22"/>
      <c r="G69" s="21"/>
    </row>
    <row r="70" ht="15.75" customHeight="1">
      <c r="A70" s="50"/>
      <c r="B70" s="20"/>
      <c r="C70" s="21"/>
      <c r="D70" s="22"/>
      <c r="E70" s="23"/>
      <c r="F70" s="22"/>
      <c r="G70" s="21"/>
    </row>
    <row r="71" ht="15.75" customHeight="1">
      <c r="A71" s="50"/>
      <c r="B71" s="20"/>
      <c r="C71" s="21"/>
      <c r="D71" s="22"/>
      <c r="E71" s="23"/>
      <c r="F71" s="22"/>
      <c r="G71" s="21"/>
    </row>
    <row r="72" ht="15.75" customHeight="1">
      <c r="A72" s="50"/>
      <c r="B72" s="20"/>
      <c r="C72" s="21"/>
      <c r="D72" s="22"/>
      <c r="E72" s="23"/>
      <c r="F72" s="22"/>
      <c r="G72" s="21"/>
    </row>
    <row r="73" ht="15.75" customHeight="1">
      <c r="A73" s="50"/>
      <c r="B73" s="20"/>
      <c r="C73" s="21"/>
      <c r="D73" s="22"/>
      <c r="E73" s="23"/>
      <c r="F73" s="22"/>
      <c r="G73" s="21"/>
    </row>
    <row r="74" ht="15.75" customHeight="1">
      <c r="A74" s="50"/>
      <c r="B74" s="20"/>
      <c r="C74" s="21"/>
      <c r="D74" s="22"/>
      <c r="E74" s="23"/>
      <c r="F74" s="22"/>
      <c r="G74" s="21"/>
    </row>
    <row r="75" ht="15.75" customHeight="1">
      <c r="A75" s="50"/>
      <c r="B75" s="20"/>
      <c r="C75" s="21"/>
      <c r="D75" s="22"/>
      <c r="E75" s="23"/>
      <c r="F75" s="22"/>
      <c r="G75" s="21"/>
    </row>
    <row r="76" ht="15.75" customHeight="1">
      <c r="A76" s="50"/>
      <c r="B76" s="20"/>
      <c r="C76" s="21"/>
      <c r="D76" s="22"/>
      <c r="E76" s="23"/>
      <c r="F76" s="22"/>
      <c r="G76" s="21"/>
    </row>
    <row r="77" ht="15.75" customHeight="1">
      <c r="A77" s="50"/>
      <c r="B77" s="20"/>
      <c r="C77" s="21"/>
      <c r="D77" s="22"/>
      <c r="E77" s="23"/>
      <c r="F77" s="22"/>
      <c r="G77" s="21"/>
    </row>
    <row r="78" ht="15.75" customHeight="1">
      <c r="A78" s="51"/>
      <c r="B78" s="21"/>
      <c r="C78" s="21" t="str">
        <f t="array" ref="C78">IF($B78="","",IFERROR(INDEX(Estimasi!$I$2:$I$1000,MATCH($B78,Estimasi!$H$2:$H$1000,0)),""))</f>
        <v/>
      </c>
      <c r="D78" s="22" t="str">
        <f t="array" ref="D78">IF($C78="","",IFERROR(INDEX(Estimasi!$M$2:$M$1000,MATCH($C78,Estimasi!$L$2:$L$1000,0)),""))</f>
        <v/>
      </c>
      <c r="E78" s="22"/>
      <c r="F78" s="22" t="str">
        <f t="shared" ref="F78:F1001" si="4">IF(C78="","",D78-SUMIF($C$2:C78,C78,$E$2:E78))</f>
        <v/>
      </c>
      <c r="G78" s="21" t="str">
        <f t="shared" ref="G78:G1001" si="5">IF(C78="","",IF(F78&lt;0,"Over Budget",IF(F78/D78&lt;=20%,"Mendekati Batas","Aman")))</f>
        <v/>
      </c>
    </row>
    <row r="79" ht="15.75" customHeight="1">
      <c r="A79" s="51"/>
      <c r="B79" s="21"/>
      <c r="C79" s="21" t="str">
        <f t="array" ref="C79">IF($B79="","",IFERROR(INDEX(Estimasi!$I$2:$I$1000,MATCH($B79,Estimasi!$H$2:$H$1000,0)),""))</f>
        <v/>
      </c>
      <c r="D79" s="22" t="str">
        <f t="array" ref="D79">IF($C79="","",IFERROR(INDEX(Estimasi!$M$2:$M$1000,MATCH($C79,Estimasi!$L$2:$L$1000,0)),""))</f>
        <v/>
      </c>
      <c r="E79" s="22"/>
      <c r="F79" s="22" t="str">
        <f t="shared" si="4"/>
        <v/>
      </c>
      <c r="G79" s="21" t="str">
        <f t="shared" si="5"/>
        <v/>
      </c>
    </row>
    <row r="80" ht="15.75" customHeight="1">
      <c r="A80" s="51"/>
      <c r="B80" s="21"/>
      <c r="C80" s="21" t="str">
        <f t="array" ref="C80">IF($B80="","",IFERROR(INDEX(Estimasi!$I$2:$I$1000,MATCH($B80,Estimasi!$H$2:$H$1000,0)),""))</f>
        <v/>
      </c>
      <c r="D80" s="22" t="str">
        <f t="array" ref="D80">IF($C80="","",IFERROR(INDEX(Estimasi!$M$2:$M$1000,MATCH($C80,Estimasi!$L$2:$L$1000,0)),""))</f>
        <v/>
      </c>
      <c r="E80" s="22"/>
      <c r="F80" s="22" t="str">
        <f t="shared" si="4"/>
        <v/>
      </c>
      <c r="G80" s="21" t="str">
        <f t="shared" si="5"/>
        <v/>
      </c>
    </row>
    <row r="81" ht="15.75" customHeight="1">
      <c r="A81" s="51"/>
      <c r="B81" s="21"/>
      <c r="C81" s="21" t="str">
        <f t="array" ref="C81">IF($B81="","",IFERROR(INDEX(Estimasi!$I$2:$I$1000,MATCH($B81,Estimasi!$H$2:$H$1000,0)),""))</f>
        <v/>
      </c>
      <c r="D81" s="22" t="str">
        <f t="array" ref="D81">IF($C81="","",IFERROR(INDEX(Estimasi!$M$2:$M$1000,MATCH($C81,Estimasi!$L$2:$L$1000,0)),""))</f>
        <v/>
      </c>
      <c r="E81" s="22"/>
      <c r="F81" s="22" t="str">
        <f t="shared" si="4"/>
        <v/>
      </c>
      <c r="G81" s="21" t="str">
        <f t="shared" si="5"/>
        <v/>
      </c>
    </row>
    <row r="82" ht="15.75" customHeight="1">
      <c r="A82" s="51"/>
      <c r="B82" s="21"/>
      <c r="C82" s="21" t="str">
        <f t="array" ref="C82">IF($B82="","",IFERROR(INDEX(Estimasi!$I$2:$I$1000,MATCH($B82,Estimasi!$H$2:$H$1000,0)),""))</f>
        <v/>
      </c>
      <c r="D82" s="22" t="str">
        <f t="array" ref="D82">IF($C82="","",IFERROR(INDEX(Estimasi!$M$2:$M$1000,MATCH($C82,Estimasi!$L$2:$L$1000,0)),""))</f>
        <v/>
      </c>
      <c r="E82" s="22"/>
      <c r="F82" s="22" t="str">
        <f t="shared" si="4"/>
        <v/>
      </c>
      <c r="G82" s="21" t="str">
        <f t="shared" si="5"/>
        <v/>
      </c>
    </row>
    <row r="83" ht="15.75" customHeight="1">
      <c r="A83" s="51"/>
      <c r="B83" s="21"/>
      <c r="C83" s="21" t="str">
        <f t="array" ref="C83">IF($B83="","",IFERROR(INDEX(Estimasi!$I$2:$I$1000,MATCH($B83,Estimasi!$H$2:$H$1000,0)),""))</f>
        <v/>
      </c>
      <c r="D83" s="22" t="str">
        <f t="array" ref="D83">IF($C83="","",IFERROR(INDEX(Estimasi!$M$2:$M$1000,MATCH($C83,Estimasi!$L$2:$L$1000,0)),""))</f>
        <v/>
      </c>
      <c r="E83" s="22"/>
      <c r="F83" s="22" t="str">
        <f t="shared" si="4"/>
        <v/>
      </c>
      <c r="G83" s="21" t="str">
        <f t="shared" si="5"/>
        <v/>
      </c>
    </row>
    <row r="84" ht="15.75" customHeight="1">
      <c r="A84" s="51"/>
      <c r="B84" s="21"/>
      <c r="C84" s="21" t="str">
        <f t="array" ref="C84">IF($B84="","",IFERROR(INDEX(Estimasi!$I$2:$I$1000,MATCH($B84,Estimasi!$H$2:$H$1000,0)),""))</f>
        <v/>
      </c>
      <c r="D84" s="22" t="str">
        <f t="array" ref="D84">IF($C84="","",IFERROR(INDEX(Estimasi!$M$2:$M$1000,MATCH($C84,Estimasi!$L$2:$L$1000,0)),""))</f>
        <v/>
      </c>
      <c r="E84" s="22"/>
      <c r="F84" s="22" t="str">
        <f t="shared" si="4"/>
        <v/>
      </c>
      <c r="G84" s="21" t="str">
        <f t="shared" si="5"/>
        <v/>
      </c>
    </row>
    <row r="85" ht="15.75" customHeight="1">
      <c r="A85" s="51"/>
      <c r="B85" s="21"/>
      <c r="C85" s="21" t="str">
        <f t="array" ref="C85">IF($B85="","",IFERROR(INDEX(Estimasi!$I$2:$I$1000,MATCH($B85,Estimasi!$H$2:$H$1000,0)),""))</f>
        <v/>
      </c>
      <c r="D85" s="22" t="str">
        <f t="array" ref="D85">IF($C85="","",IFERROR(INDEX(Estimasi!$M$2:$M$1000,MATCH($C85,Estimasi!$L$2:$L$1000,0)),""))</f>
        <v/>
      </c>
      <c r="E85" s="22"/>
      <c r="F85" s="22" t="str">
        <f t="shared" si="4"/>
        <v/>
      </c>
      <c r="G85" s="21" t="str">
        <f t="shared" si="5"/>
        <v/>
      </c>
    </row>
    <row r="86" ht="15.75" customHeight="1">
      <c r="A86" s="51"/>
      <c r="B86" s="21"/>
      <c r="C86" s="21" t="str">
        <f t="array" ref="C86">IF($B86="","",IFERROR(INDEX(Estimasi!$I$2:$I$1000,MATCH($B86,Estimasi!$H$2:$H$1000,0)),""))</f>
        <v/>
      </c>
      <c r="D86" s="22" t="str">
        <f t="array" ref="D86">IF($C86="","",IFERROR(INDEX(Estimasi!$M$2:$M$1000,MATCH($C86,Estimasi!$L$2:$L$1000,0)),""))</f>
        <v/>
      </c>
      <c r="E86" s="22"/>
      <c r="F86" s="22" t="str">
        <f t="shared" si="4"/>
        <v/>
      </c>
      <c r="G86" s="21" t="str">
        <f t="shared" si="5"/>
        <v/>
      </c>
    </row>
    <row r="87" ht="15.75" customHeight="1">
      <c r="A87" s="51"/>
      <c r="B87" s="21"/>
      <c r="C87" s="21" t="str">
        <f t="array" ref="C87">IF($B87="","",IFERROR(INDEX(Estimasi!$I$2:$I$1000,MATCH($B87,Estimasi!$H$2:$H$1000,0)),""))</f>
        <v/>
      </c>
      <c r="D87" s="22" t="str">
        <f t="array" ref="D87">IF($C87="","",IFERROR(INDEX(Estimasi!$M$2:$M$1000,MATCH($C87,Estimasi!$L$2:$L$1000,0)),""))</f>
        <v/>
      </c>
      <c r="E87" s="22"/>
      <c r="F87" s="22" t="str">
        <f t="shared" si="4"/>
        <v/>
      </c>
      <c r="G87" s="21" t="str">
        <f t="shared" si="5"/>
        <v/>
      </c>
    </row>
    <row r="88" ht="15.75" customHeight="1">
      <c r="A88" s="51"/>
      <c r="B88" s="21"/>
      <c r="C88" s="21" t="str">
        <f t="array" ref="C88">IF($B88="","",IFERROR(INDEX(Estimasi!$I$2:$I$1000,MATCH($B88,Estimasi!$H$2:$H$1000,0)),""))</f>
        <v/>
      </c>
      <c r="D88" s="22" t="str">
        <f t="array" ref="D88">IF($C88="","",IFERROR(INDEX(Estimasi!$M$2:$M$1000,MATCH($C88,Estimasi!$L$2:$L$1000,0)),""))</f>
        <v/>
      </c>
      <c r="E88" s="22"/>
      <c r="F88" s="22" t="str">
        <f t="shared" si="4"/>
        <v/>
      </c>
      <c r="G88" s="21" t="str">
        <f t="shared" si="5"/>
        <v/>
      </c>
    </row>
    <row r="89" ht="15.75" customHeight="1">
      <c r="A89" s="51"/>
      <c r="B89" s="21"/>
      <c r="C89" s="21" t="str">
        <f t="array" ref="C89">IF($B89="","",IFERROR(INDEX(Estimasi!$I$2:$I$1000,MATCH($B89,Estimasi!$H$2:$H$1000,0)),""))</f>
        <v/>
      </c>
      <c r="D89" s="22" t="str">
        <f t="array" ref="D89">IF($C89="","",IFERROR(INDEX(Estimasi!$M$2:$M$1000,MATCH($C89,Estimasi!$L$2:$L$1000,0)),""))</f>
        <v/>
      </c>
      <c r="E89" s="22"/>
      <c r="F89" s="22" t="str">
        <f t="shared" si="4"/>
        <v/>
      </c>
      <c r="G89" s="21" t="str">
        <f t="shared" si="5"/>
        <v/>
      </c>
    </row>
    <row r="90" ht="15.75" customHeight="1">
      <c r="A90" s="51"/>
      <c r="B90" s="21"/>
      <c r="C90" s="21" t="str">
        <f t="array" ref="C90">IF($B90="","",IFERROR(INDEX(Estimasi!$I$2:$I$1000,MATCH($B90,Estimasi!$H$2:$H$1000,0)),""))</f>
        <v/>
      </c>
      <c r="D90" s="22" t="str">
        <f t="array" ref="D90">IF($C90="","",IFERROR(INDEX(Estimasi!$M$2:$M$1000,MATCH($C90,Estimasi!$L$2:$L$1000,0)),""))</f>
        <v/>
      </c>
      <c r="E90" s="22"/>
      <c r="F90" s="22" t="str">
        <f t="shared" si="4"/>
        <v/>
      </c>
      <c r="G90" s="21" t="str">
        <f t="shared" si="5"/>
        <v/>
      </c>
    </row>
    <row r="91" ht="15.75" customHeight="1">
      <c r="A91" s="51"/>
      <c r="B91" s="21"/>
      <c r="C91" s="21" t="str">
        <f t="array" ref="C91">IF($B91="","",IFERROR(INDEX(Estimasi!$I$2:$I$1000,MATCH($B91,Estimasi!$H$2:$H$1000,0)),""))</f>
        <v/>
      </c>
      <c r="D91" s="22" t="str">
        <f t="array" ref="D91">IF($C91="","",IFERROR(INDEX(Estimasi!$M$2:$M$1000,MATCH($C91,Estimasi!$L$2:$L$1000,0)),""))</f>
        <v/>
      </c>
      <c r="E91" s="22"/>
      <c r="F91" s="22" t="str">
        <f t="shared" si="4"/>
        <v/>
      </c>
      <c r="G91" s="21" t="str">
        <f t="shared" si="5"/>
        <v/>
      </c>
    </row>
    <row r="92" ht="15.75" customHeight="1">
      <c r="A92" s="51"/>
      <c r="B92" s="21"/>
      <c r="C92" s="21" t="str">
        <f t="array" ref="C92">IF($B92="","",IFERROR(INDEX(Estimasi!$I$2:$I$1000,MATCH($B92,Estimasi!$H$2:$H$1000,0)),""))</f>
        <v/>
      </c>
      <c r="D92" s="22" t="str">
        <f t="array" ref="D92">IF($C92="","",IFERROR(INDEX(Estimasi!$M$2:$M$1000,MATCH($C92,Estimasi!$L$2:$L$1000,0)),""))</f>
        <v/>
      </c>
      <c r="E92" s="22"/>
      <c r="F92" s="22" t="str">
        <f t="shared" si="4"/>
        <v/>
      </c>
      <c r="G92" s="21" t="str">
        <f t="shared" si="5"/>
        <v/>
      </c>
    </row>
    <row r="93" ht="15.75" customHeight="1">
      <c r="A93" s="51"/>
      <c r="B93" s="21"/>
      <c r="C93" s="21" t="str">
        <f t="array" ref="C93">IF($B93="","",IFERROR(INDEX(Estimasi!$I$2:$I$1000,MATCH($B93,Estimasi!$H$2:$H$1000,0)),""))</f>
        <v/>
      </c>
      <c r="D93" s="22" t="str">
        <f t="array" ref="D93">IF($C93="","",IFERROR(INDEX(Estimasi!$M$2:$M$1000,MATCH($C93,Estimasi!$L$2:$L$1000,0)),""))</f>
        <v/>
      </c>
      <c r="E93" s="22"/>
      <c r="F93" s="22" t="str">
        <f t="shared" si="4"/>
        <v/>
      </c>
      <c r="G93" s="21" t="str">
        <f t="shared" si="5"/>
        <v/>
      </c>
    </row>
    <row r="94" ht="15.75" customHeight="1">
      <c r="A94" s="51"/>
      <c r="B94" s="21"/>
      <c r="C94" s="21" t="str">
        <f t="array" ref="C94">IF($B94="","",IFERROR(INDEX(Estimasi!$I$2:$I$1000,MATCH($B94,Estimasi!$H$2:$H$1000,0)),""))</f>
        <v/>
      </c>
      <c r="D94" s="22" t="str">
        <f t="array" ref="D94">IF($C94="","",IFERROR(INDEX(Estimasi!$M$2:$M$1000,MATCH($C94,Estimasi!$L$2:$L$1000,0)),""))</f>
        <v/>
      </c>
      <c r="E94" s="22"/>
      <c r="F94" s="22" t="str">
        <f t="shared" si="4"/>
        <v/>
      </c>
      <c r="G94" s="21" t="str">
        <f t="shared" si="5"/>
        <v/>
      </c>
    </row>
    <row r="95" ht="15.75" customHeight="1">
      <c r="A95" s="51"/>
      <c r="B95" s="21"/>
      <c r="C95" s="21" t="str">
        <f t="array" ref="C95">IF($B95="","",IFERROR(INDEX(Estimasi!$I$2:$I$1000,MATCH($B95,Estimasi!$H$2:$H$1000,0)),""))</f>
        <v/>
      </c>
      <c r="D95" s="22" t="str">
        <f t="array" ref="D95">IF($C95="","",IFERROR(INDEX(Estimasi!$M$2:$M$1000,MATCH($C95,Estimasi!$L$2:$L$1000,0)),""))</f>
        <v/>
      </c>
      <c r="E95" s="22"/>
      <c r="F95" s="22" t="str">
        <f t="shared" si="4"/>
        <v/>
      </c>
      <c r="G95" s="21" t="str">
        <f t="shared" si="5"/>
        <v/>
      </c>
    </row>
    <row r="96" ht="15.75" customHeight="1">
      <c r="A96" s="51"/>
      <c r="B96" s="21"/>
      <c r="C96" s="21" t="str">
        <f t="array" ref="C96">IF($B96="","",IFERROR(INDEX(Estimasi!$I$2:$I$1000,MATCH($B96,Estimasi!$H$2:$H$1000,0)),""))</f>
        <v/>
      </c>
      <c r="D96" s="22" t="str">
        <f t="array" ref="D96">IF($C96="","",IFERROR(INDEX(Estimasi!$M$2:$M$1000,MATCH($C96,Estimasi!$L$2:$L$1000,0)),""))</f>
        <v/>
      </c>
      <c r="E96" s="22"/>
      <c r="F96" s="22" t="str">
        <f t="shared" si="4"/>
        <v/>
      </c>
      <c r="G96" s="21" t="str">
        <f t="shared" si="5"/>
        <v/>
      </c>
    </row>
    <row r="97" ht="15.75" customHeight="1">
      <c r="A97" s="51"/>
      <c r="B97" s="21"/>
      <c r="C97" s="21" t="str">
        <f t="array" ref="C97">IF($B97="","",IFERROR(INDEX(Estimasi!$I$2:$I$1000,MATCH($B97,Estimasi!$H$2:$H$1000,0)),""))</f>
        <v/>
      </c>
      <c r="D97" s="22" t="str">
        <f t="array" ref="D97">IF($C97="","",IFERROR(INDEX(Estimasi!$M$2:$M$1000,MATCH($C97,Estimasi!$L$2:$L$1000,0)),""))</f>
        <v/>
      </c>
      <c r="E97" s="22"/>
      <c r="F97" s="22" t="str">
        <f t="shared" si="4"/>
        <v/>
      </c>
      <c r="G97" s="21" t="str">
        <f t="shared" si="5"/>
        <v/>
      </c>
    </row>
    <row r="98" ht="15.75" customHeight="1">
      <c r="A98" s="51"/>
      <c r="B98" s="21"/>
      <c r="C98" s="21" t="str">
        <f t="array" ref="C98">IF($B98="","",IFERROR(INDEX(Estimasi!$I$2:$I$1000,MATCH($B98,Estimasi!$H$2:$H$1000,0)),""))</f>
        <v/>
      </c>
      <c r="D98" s="22" t="str">
        <f t="array" ref="D98">IF($C98="","",IFERROR(INDEX(Estimasi!$M$2:$M$1000,MATCH($C98,Estimasi!$L$2:$L$1000,0)),""))</f>
        <v/>
      </c>
      <c r="E98" s="22"/>
      <c r="F98" s="22" t="str">
        <f t="shared" si="4"/>
        <v/>
      </c>
      <c r="G98" s="21" t="str">
        <f t="shared" si="5"/>
        <v/>
      </c>
    </row>
    <row r="99" ht="15.75" customHeight="1">
      <c r="A99" s="51"/>
      <c r="B99" s="21"/>
      <c r="C99" s="21" t="str">
        <f t="array" ref="C99">IF($B99="","",IFERROR(INDEX(Estimasi!$I$2:$I$1000,MATCH($B99,Estimasi!$H$2:$H$1000,0)),""))</f>
        <v/>
      </c>
      <c r="D99" s="22" t="str">
        <f t="array" ref="D99">IF($C99="","",IFERROR(INDEX(Estimasi!$M$2:$M$1000,MATCH($C99,Estimasi!$L$2:$L$1000,0)),""))</f>
        <v/>
      </c>
      <c r="E99" s="22"/>
      <c r="F99" s="22" t="str">
        <f t="shared" si="4"/>
        <v/>
      </c>
      <c r="G99" s="21" t="str">
        <f t="shared" si="5"/>
        <v/>
      </c>
    </row>
    <row r="100" ht="15.75" customHeight="1">
      <c r="A100" s="51"/>
      <c r="B100" s="21"/>
      <c r="C100" s="21" t="str">
        <f t="array" ref="C100">IF($B100="","",IFERROR(INDEX(Estimasi!$I$2:$I$1000,MATCH($B100,Estimasi!$H$2:$H$1000,0)),""))</f>
        <v/>
      </c>
      <c r="D100" s="22" t="str">
        <f t="array" ref="D100">IF($C100="","",IFERROR(INDEX(Estimasi!$M$2:$M$1000,MATCH($C100,Estimasi!$L$2:$L$1000,0)),""))</f>
        <v/>
      </c>
      <c r="E100" s="22"/>
      <c r="F100" s="22" t="str">
        <f t="shared" si="4"/>
        <v/>
      </c>
      <c r="G100" s="21" t="str">
        <f t="shared" si="5"/>
        <v/>
      </c>
    </row>
    <row r="101" ht="15.75" customHeight="1">
      <c r="A101" s="51"/>
      <c r="B101" s="21"/>
      <c r="C101" s="21" t="str">
        <f t="array" ref="C101">IF($B101="","",IFERROR(INDEX(Estimasi!$I$2:$I$1000,MATCH($B101,Estimasi!$H$2:$H$1000,0)),""))</f>
        <v/>
      </c>
      <c r="D101" s="22" t="str">
        <f t="array" ref="D101">IF($C101="","",IFERROR(INDEX(Estimasi!$M$2:$M$1000,MATCH($C101,Estimasi!$L$2:$L$1000,0)),""))</f>
        <v/>
      </c>
      <c r="E101" s="22"/>
      <c r="F101" s="22" t="str">
        <f t="shared" si="4"/>
        <v/>
      </c>
      <c r="G101" s="21" t="str">
        <f t="shared" si="5"/>
        <v/>
      </c>
    </row>
    <row r="102" ht="15.75" customHeight="1">
      <c r="A102" s="52"/>
      <c r="B102" s="11"/>
      <c r="C102" s="11" t="str">
        <f t="array" ref="C102">IF($B102="","",IFERROR(INDEX(Estimasi!$I$2:$I$1000,MATCH($B102,Estimasi!$H$2:$H$1000,0)),""))</f>
        <v/>
      </c>
      <c r="D102" s="32" t="str">
        <f t="array" ref="D102">IF($C102="","",IFERROR(INDEX(Estimasi!$M$2:$M$1000,MATCH($C102,Estimasi!$L$2:$L$1000,0)),""))</f>
        <v/>
      </c>
      <c r="E102" s="32"/>
      <c r="F102" s="32" t="str">
        <f t="shared" si="4"/>
        <v/>
      </c>
      <c r="G102" s="11" t="str">
        <f t="shared" si="5"/>
        <v/>
      </c>
    </row>
    <row r="103" ht="15.75" customHeight="1">
      <c r="A103" s="52"/>
      <c r="B103" s="11"/>
      <c r="C103" s="11" t="str">
        <f t="array" ref="C103">IF($B103="","",IFERROR(INDEX(Estimasi!$I$2:$I$1000,MATCH($B103,Estimasi!$H$2:$H$1000,0)),""))</f>
        <v/>
      </c>
      <c r="D103" s="32" t="str">
        <f t="array" ref="D103">IF($C103="","",IFERROR(INDEX(Estimasi!$M$2:$M$1000,MATCH($C103,Estimasi!$L$2:$L$1000,0)),""))</f>
        <v/>
      </c>
      <c r="E103" s="32"/>
      <c r="F103" s="32" t="str">
        <f t="shared" si="4"/>
        <v/>
      </c>
      <c r="G103" s="11" t="str">
        <f t="shared" si="5"/>
        <v/>
      </c>
    </row>
    <row r="104" ht="15.75" customHeight="1">
      <c r="A104" s="52"/>
      <c r="B104" s="11"/>
      <c r="C104" s="11" t="str">
        <f t="array" ref="C104">IF($B104="","",IFERROR(INDEX(Estimasi!$I$2:$I$1000,MATCH($B104,Estimasi!$H$2:$H$1000,0)),""))</f>
        <v/>
      </c>
      <c r="D104" s="32" t="str">
        <f t="array" ref="D104">IF($C104="","",IFERROR(INDEX(Estimasi!$M$2:$M$1000,MATCH($C104,Estimasi!$L$2:$L$1000,0)),""))</f>
        <v/>
      </c>
      <c r="E104" s="32"/>
      <c r="F104" s="32" t="str">
        <f t="shared" si="4"/>
        <v/>
      </c>
      <c r="G104" s="11" t="str">
        <f t="shared" si="5"/>
        <v/>
      </c>
    </row>
    <row r="105" ht="15.75" customHeight="1">
      <c r="A105" s="52"/>
      <c r="B105" s="11"/>
      <c r="C105" s="11" t="str">
        <f t="array" ref="C105">IF($B105="","",IFERROR(INDEX(Estimasi!$I$2:$I$1000,MATCH($B105,Estimasi!$H$2:$H$1000,0)),""))</f>
        <v/>
      </c>
      <c r="D105" s="32" t="str">
        <f t="array" ref="D105">IF($C105="","",IFERROR(INDEX(Estimasi!$M$2:$M$1000,MATCH($C105,Estimasi!$L$2:$L$1000,0)),""))</f>
        <v/>
      </c>
      <c r="E105" s="32"/>
      <c r="F105" s="32" t="str">
        <f t="shared" si="4"/>
        <v/>
      </c>
      <c r="G105" s="11" t="str">
        <f t="shared" si="5"/>
        <v/>
      </c>
    </row>
    <row r="106" ht="15.75" customHeight="1">
      <c r="A106" s="52"/>
      <c r="B106" s="11"/>
      <c r="C106" s="11" t="str">
        <f t="array" ref="C106">IF($B106="","",IFERROR(INDEX(Estimasi!$I$2:$I$1000,MATCH($B106,Estimasi!$H$2:$H$1000,0)),""))</f>
        <v/>
      </c>
      <c r="D106" s="32" t="str">
        <f t="array" ref="D106">IF($C106="","",IFERROR(INDEX(Estimasi!$M$2:$M$1000,MATCH($C106,Estimasi!$L$2:$L$1000,0)),""))</f>
        <v/>
      </c>
      <c r="E106" s="32"/>
      <c r="F106" s="32" t="str">
        <f t="shared" si="4"/>
        <v/>
      </c>
      <c r="G106" s="11" t="str">
        <f t="shared" si="5"/>
        <v/>
      </c>
    </row>
    <row r="107" ht="15.75" customHeight="1">
      <c r="A107" s="52"/>
      <c r="B107" s="11"/>
      <c r="C107" s="11" t="str">
        <f t="array" ref="C107">IF($B107="","",IFERROR(INDEX(Estimasi!$I$2:$I$1000,MATCH($B107,Estimasi!$H$2:$H$1000,0)),""))</f>
        <v/>
      </c>
      <c r="D107" s="32" t="str">
        <f t="array" ref="D107">IF($C107="","",IFERROR(INDEX(Estimasi!$M$2:$M$1000,MATCH($C107,Estimasi!$L$2:$L$1000,0)),""))</f>
        <v/>
      </c>
      <c r="E107" s="32"/>
      <c r="F107" s="32" t="str">
        <f t="shared" si="4"/>
        <v/>
      </c>
      <c r="G107" s="11" t="str">
        <f t="shared" si="5"/>
        <v/>
      </c>
    </row>
    <row r="108" ht="15.75" customHeight="1">
      <c r="A108" s="52"/>
      <c r="B108" s="11"/>
      <c r="C108" s="11" t="str">
        <f t="array" ref="C108">IF($B108="","",IFERROR(INDEX(Estimasi!$I$2:$I$1000,MATCH($B108,Estimasi!$H$2:$H$1000,0)),""))</f>
        <v/>
      </c>
      <c r="D108" s="32" t="str">
        <f t="array" ref="D108">IF($C108="","",IFERROR(INDEX(Estimasi!$M$2:$M$1000,MATCH($C108,Estimasi!$L$2:$L$1000,0)),""))</f>
        <v/>
      </c>
      <c r="E108" s="32"/>
      <c r="F108" s="32" t="str">
        <f t="shared" si="4"/>
        <v/>
      </c>
      <c r="G108" s="11" t="str">
        <f t="shared" si="5"/>
        <v/>
      </c>
    </row>
    <row r="109" ht="15.75" customHeight="1">
      <c r="A109" s="52"/>
      <c r="B109" s="11"/>
      <c r="C109" s="11" t="str">
        <f t="array" ref="C109">IF($B109="","",IFERROR(INDEX(Estimasi!$I$2:$I$1000,MATCH($B109,Estimasi!$H$2:$H$1000,0)),""))</f>
        <v/>
      </c>
      <c r="D109" s="32" t="str">
        <f t="array" ref="D109">IF($C109="","",IFERROR(INDEX(Estimasi!$M$2:$M$1000,MATCH($C109,Estimasi!$L$2:$L$1000,0)),""))</f>
        <v/>
      </c>
      <c r="E109" s="32"/>
      <c r="F109" s="32" t="str">
        <f t="shared" si="4"/>
        <v/>
      </c>
      <c r="G109" s="11" t="str">
        <f t="shared" si="5"/>
        <v/>
      </c>
    </row>
    <row r="110" ht="15.75" customHeight="1">
      <c r="A110" s="52"/>
      <c r="B110" s="11"/>
      <c r="C110" s="11" t="str">
        <f t="array" ref="C110">IF($B110="","",IFERROR(INDEX(Estimasi!$I$2:$I$1000,MATCH($B110,Estimasi!$H$2:$H$1000,0)),""))</f>
        <v/>
      </c>
      <c r="D110" s="32" t="str">
        <f t="array" ref="D110">IF($C110="","",IFERROR(INDEX(Estimasi!$M$2:$M$1000,MATCH($C110,Estimasi!$L$2:$L$1000,0)),""))</f>
        <v/>
      </c>
      <c r="E110" s="32"/>
      <c r="F110" s="32" t="str">
        <f t="shared" si="4"/>
        <v/>
      </c>
      <c r="G110" s="11" t="str">
        <f t="shared" si="5"/>
        <v/>
      </c>
    </row>
    <row r="111" ht="15.75" customHeight="1">
      <c r="A111" s="52"/>
      <c r="B111" s="11"/>
      <c r="C111" s="11" t="str">
        <f t="array" ref="C111">IF($B111="","",IFERROR(INDEX(Estimasi!$I$2:$I$1000,MATCH($B111,Estimasi!$H$2:$H$1000,0)),""))</f>
        <v/>
      </c>
      <c r="D111" s="32" t="str">
        <f t="array" ref="D111">IF($C111="","",IFERROR(INDEX(Estimasi!$M$2:$M$1000,MATCH($C111,Estimasi!$L$2:$L$1000,0)),""))</f>
        <v/>
      </c>
      <c r="E111" s="32"/>
      <c r="F111" s="32" t="str">
        <f t="shared" si="4"/>
        <v/>
      </c>
      <c r="G111" s="11" t="str">
        <f t="shared" si="5"/>
        <v/>
      </c>
    </row>
    <row r="112" ht="15.75" customHeight="1">
      <c r="A112" s="52"/>
      <c r="B112" s="11"/>
      <c r="C112" s="11" t="str">
        <f t="array" ref="C112">IF($B112="","",IFERROR(INDEX(Estimasi!$I$2:$I$1000,MATCH($B112,Estimasi!$H$2:$H$1000,0)),""))</f>
        <v/>
      </c>
      <c r="D112" s="32" t="str">
        <f t="array" ref="D112">IF($C112="","",IFERROR(INDEX(Estimasi!$M$2:$M$1000,MATCH($C112,Estimasi!$L$2:$L$1000,0)),""))</f>
        <v/>
      </c>
      <c r="E112" s="32"/>
      <c r="F112" s="32" t="str">
        <f t="shared" si="4"/>
        <v/>
      </c>
      <c r="G112" s="11" t="str">
        <f t="shared" si="5"/>
        <v/>
      </c>
    </row>
    <row r="113" ht="15.75" customHeight="1">
      <c r="A113" s="52"/>
      <c r="B113" s="11"/>
      <c r="C113" s="11" t="str">
        <f t="array" ref="C113">IF($B113="","",IFERROR(INDEX(Estimasi!$I$2:$I$1000,MATCH($B113,Estimasi!$H$2:$H$1000,0)),""))</f>
        <v/>
      </c>
      <c r="D113" s="32" t="str">
        <f t="array" ref="D113">IF($C113="","",IFERROR(INDEX(Estimasi!$M$2:$M$1000,MATCH($C113,Estimasi!$L$2:$L$1000,0)),""))</f>
        <v/>
      </c>
      <c r="E113" s="32"/>
      <c r="F113" s="32" t="str">
        <f t="shared" si="4"/>
        <v/>
      </c>
      <c r="G113" s="11" t="str">
        <f t="shared" si="5"/>
        <v/>
      </c>
    </row>
    <row r="114" ht="15.75" customHeight="1">
      <c r="A114" s="52"/>
      <c r="B114" s="11"/>
      <c r="C114" s="11" t="str">
        <f t="array" ref="C114">IF($B114="","",IFERROR(INDEX(Estimasi!$I$2:$I$1000,MATCH($B114,Estimasi!$H$2:$H$1000,0)),""))</f>
        <v/>
      </c>
      <c r="D114" s="32" t="str">
        <f t="array" ref="D114">IF($C114="","",IFERROR(INDEX(Estimasi!$M$2:$M$1000,MATCH($C114,Estimasi!$L$2:$L$1000,0)),""))</f>
        <v/>
      </c>
      <c r="E114" s="32"/>
      <c r="F114" s="32" t="str">
        <f t="shared" si="4"/>
        <v/>
      </c>
      <c r="G114" s="11" t="str">
        <f t="shared" si="5"/>
        <v/>
      </c>
    </row>
    <row r="115" ht="15.75" customHeight="1">
      <c r="A115" s="52"/>
      <c r="B115" s="11"/>
      <c r="C115" s="11" t="str">
        <f t="array" ref="C115">IF($B115="","",IFERROR(INDEX(Estimasi!$I$2:$I$1000,MATCH($B115,Estimasi!$H$2:$H$1000,0)),""))</f>
        <v/>
      </c>
      <c r="D115" s="32" t="str">
        <f t="array" ref="D115">IF($C115="","",IFERROR(INDEX(Estimasi!$M$2:$M$1000,MATCH($C115,Estimasi!$L$2:$L$1000,0)),""))</f>
        <v/>
      </c>
      <c r="E115" s="32"/>
      <c r="F115" s="32" t="str">
        <f t="shared" si="4"/>
        <v/>
      </c>
      <c r="G115" s="11" t="str">
        <f t="shared" si="5"/>
        <v/>
      </c>
    </row>
    <row r="116" ht="15.75" customHeight="1">
      <c r="A116" s="52"/>
      <c r="B116" s="11"/>
      <c r="C116" s="11" t="str">
        <f t="array" ref="C116">IF($B116="","",IFERROR(INDEX(Estimasi!$I$2:$I$1000,MATCH($B116,Estimasi!$H$2:$H$1000,0)),""))</f>
        <v/>
      </c>
      <c r="D116" s="32" t="str">
        <f t="array" ref="D116">IF($C116="","",IFERROR(INDEX(Estimasi!$M$2:$M$1000,MATCH($C116,Estimasi!$L$2:$L$1000,0)),""))</f>
        <v/>
      </c>
      <c r="E116" s="32"/>
      <c r="F116" s="32" t="str">
        <f t="shared" si="4"/>
        <v/>
      </c>
      <c r="G116" s="11" t="str">
        <f t="shared" si="5"/>
        <v/>
      </c>
    </row>
    <row r="117" ht="15.75" customHeight="1">
      <c r="A117" s="52"/>
      <c r="B117" s="11"/>
      <c r="C117" s="11" t="str">
        <f t="array" ref="C117">IF($B117="","",IFERROR(INDEX(Estimasi!$I$2:$I$1000,MATCH($B117,Estimasi!$H$2:$H$1000,0)),""))</f>
        <v/>
      </c>
      <c r="D117" s="32" t="str">
        <f t="array" ref="D117">IF($C117="","",IFERROR(INDEX(Estimasi!$M$2:$M$1000,MATCH($C117,Estimasi!$L$2:$L$1000,0)),""))</f>
        <v/>
      </c>
      <c r="E117" s="32"/>
      <c r="F117" s="32" t="str">
        <f t="shared" si="4"/>
        <v/>
      </c>
      <c r="G117" s="11" t="str">
        <f t="shared" si="5"/>
        <v/>
      </c>
    </row>
    <row r="118" ht="15.75" customHeight="1">
      <c r="A118" s="52"/>
      <c r="B118" s="11"/>
      <c r="C118" s="11" t="str">
        <f t="array" ref="C118">IF($B118="","",IFERROR(INDEX(Estimasi!$I$2:$I$1000,MATCH($B118,Estimasi!$H$2:$H$1000,0)),""))</f>
        <v/>
      </c>
      <c r="D118" s="32" t="str">
        <f t="array" ref="D118">IF($C118="","",IFERROR(INDEX(Estimasi!$M$2:$M$1000,MATCH($C118,Estimasi!$L$2:$L$1000,0)),""))</f>
        <v/>
      </c>
      <c r="E118" s="32"/>
      <c r="F118" s="32" t="str">
        <f t="shared" si="4"/>
        <v/>
      </c>
      <c r="G118" s="11" t="str">
        <f t="shared" si="5"/>
        <v/>
      </c>
    </row>
    <row r="119" ht="15.75" customHeight="1">
      <c r="A119" s="52"/>
      <c r="B119" s="11"/>
      <c r="C119" s="11" t="str">
        <f t="array" ref="C119">IF($B119="","",IFERROR(INDEX(Estimasi!$I$2:$I$1000,MATCH($B119,Estimasi!$H$2:$H$1000,0)),""))</f>
        <v/>
      </c>
      <c r="D119" s="32" t="str">
        <f t="array" ref="D119">IF($C119="","",IFERROR(INDEX(Estimasi!$M$2:$M$1000,MATCH($C119,Estimasi!$L$2:$L$1000,0)),""))</f>
        <v/>
      </c>
      <c r="E119" s="32"/>
      <c r="F119" s="32" t="str">
        <f t="shared" si="4"/>
        <v/>
      </c>
      <c r="G119" s="11" t="str">
        <f t="shared" si="5"/>
        <v/>
      </c>
    </row>
    <row r="120" ht="15.75" customHeight="1">
      <c r="A120" s="52"/>
      <c r="B120" s="11"/>
      <c r="C120" s="11" t="str">
        <f t="array" ref="C120">IF($B120="","",IFERROR(INDEX(Estimasi!$I$2:$I$1000,MATCH($B120,Estimasi!$H$2:$H$1000,0)),""))</f>
        <v/>
      </c>
      <c r="D120" s="32" t="str">
        <f t="array" ref="D120">IF($C120="","",IFERROR(INDEX(Estimasi!$M$2:$M$1000,MATCH($C120,Estimasi!$L$2:$L$1000,0)),""))</f>
        <v/>
      </c>
      <c r="E120" s="32"/>
      <c r="F120" s="32" t="str">
        <f t="shared" si="4"/>
        <v/>
      </c>
      <c r="G120" s="11" t="str">
        <f t="shared" si="5"/>
        <v/>
      </c>
    </row>
    <row r="121" ht="15.75" customHeight="1">
      <c r="A121" s="52"/>
      <c r="B121" s="11"/>
      <c r="C121" s="11" t="str">
        <f t="array" ref="C121">IF($B121="","",IFERROR(INDEX(Estimasi!$I$2:$I$1000,MATCH($B121,Estimasi!$H$2:$H$1000,0)),""))</f>
        <v/>
      </c>
      <c r="D121" s="32" t="str">
        <f t="array" ref="D121">IF($C121="","",IFERROR(INDEX(Estimasi!$M$2:$M$1000,MATCH($C121,Estimasi!$L$2:$L$1000,0)),""))</f>
        <v/>
      </c>
      <c r="E121" s="32"/>
      <c r="F121" s="32" t="str">
        <f t="shared" si="4"/>
        <v/>
      </c>
      <c r="G121" s="11" t="str">
        <f t="shared" si="5"/>
        <v/>
      </c>
    </row>
    <row r="122" ht="15.75" customHeight="1">
      <c r="A122" s="52"/>
      <c r="B122" s="11"/>
      <c r="C122" s="11" t="str">
        <f t="array" ref="C122">IF($B122="","",IFERROR(INDEX(Estimasi!$I$2:$I$1000,MATCH($B122,Estimasi!$H$2:$H$1000,0)),""))</f>
        <v/>
      </c>
      <c r="D122" s="32" t="str">
        <f t="array" ref="D122">IF($C122="","",IFERROR(INDEX(Estimasi!$M$2:$M$1000,MATCH($C122,Estimasi!$L$2:$L$1000,0)),""))</f>
        <v/>
      </c>
      <c r="E122" s="32"/>
      <c r="F122" s="32" t="str">
        <f t="shared" si="4"/>
        <v/>
      </c>
      <c r="G122" s="11" t="str">
        <f t="shared" si="5"/>
        <v/>
      </c>
    </row>
    <row r="123" ht="15.75" customHeight="1">
      <c r="A123" s="52"/>
      <c r="B123" s="11"/>
      <c r="C123" s="11" t="str">
        <f t="array" ref="C123">IF($B123="","",IFERROR(INDEX(Estimasi!$I$2:$I$1000,MATCH($B123,Estimasi!$H$2:$H$1000,0)),""))</f>
        <v/>
      </c>
      <c r="D123" s="32" t="str">
        <f t="array" ref="D123">IF($C123="","",IFERROR(INDEX(Estimasi!$M$2:$M$1000,MATCH($C123,Estimasi!$L$2:$L$1000,0)),""))</f>
        <v/>
      </c>
      <c r="E123" s="32"/>
      <c r="F123" s="32" t="str">
        <f t="shared" si="4"/>
        <v/>
      </c>
      <c r="G123" s="11" t="str">
        <f t="shared" si="5"/>
        <v/>
      </c>
    </row>
    <row r="124" ht="15.75" customHeight="1">
      <c r="A124" s="52"/>
      <c r="B124" s="11"/>
      <c r="C124" s="11" t="str">
        <f t="array" ref="C124">IF($B124="","",IFERROR(INDEX(Estimasi!$I$2:$I$1000,MATCH($B124,Estimasi!$H$2:$H$1000,0)),""))</f>
        <v/>
      </c>
      <c r="D124" s="32" t="str">
        <f t="array" ref="D124">IF($C124="","",IFERROR(INDEX(Estimasi!$M$2:$M$1000,MATCH($C124,Estimasi!$L$2:$L$1000,0)),""))</f>
        <v/>
      </c>
      <c r="E124" s="32"/>
      <c r="F124" s="32" t="str">
        <f t="shared" si="4"/>
        <v/>
      </c>
      <c r="G124" s="11" t="str">
        <f t="shared" si="5"/>
        <v/>
      </c>
    </row>
    <row r="125" ht="15.75" customHeight="1">
      <c r="A125" s="52"/>
      <c r="B125" s="11"/>
      <c r="C125" s="11" t="str">
        <f t="array" ref="C125">IF($B125="","",IFERROR(INDEX(Estimasi!$I$2:$I$1000,MATCH($B125,Estimasi!$H$2:$H$1000,0)),""))</f>
        <v/>
      </c>
      <c r="D125" s="32" t="str">
        <f t="array" ref="D125">IF($C125="","",IFERROR(INDEX(Estimasi!$M$2:$M$1000,MATCH($C125,Estimasi!$L$2:$L$1000,0)),""))</f>
        <v/>
      </c>
      <c r="E125" s="32"/>
      <c r="F125" s="32" t="str">
        <f t="shared" si="4"/>
        <v/>
      </c>
      <c r="G125" s="11" t="str">
        <f t="shared" si="5"/>
        <v/>
      </c>
    </row>
    <row r="126" ht="15.75" customHeight="1">
      <c r="A126" s="52"/>
      <c r="B126" s="11"/>
      <c r="C126" s="11" t="str">
        <f t="array" ref="C126">IF($B126="","",IFERROR(INDEX(Estimasi!$I$2:$I$1000,MATCH($B126,Estimasi!$H$2:$H$1000,0)),""))</f>
        <v/>
      </c>
      <c r="D126" s="32" t="str">
        <f t="array" ref="D126">IF($C126="","",IFERROR(INDEX(Estimasi!$M$2:$M$1000,MATCH($C126,Estimasi!$L$2:$L$1000,0)),""))</f>
        <v/>
      </c>
      <c r="E126" s="32"/>
      <c r="F126" s="32" t="str">
        <f t="shared" si="4"/>
        <v/>
      </c>
      <c r="G126" s="11" t="str">
        <f t="shared" si="5"/>
        <v/>
      </c>
    </row>
    <row r="127" ht="15.75" customHeight="1">
      <c r="A127" s="52"/>
      <c r="B127" s="11"/>
      <c r="C127" s="11" t="str">
        <f t="array" ref="C127">IF($B127="","",IFERROR(INDEX(Estimasi!$I$2:$I$1000,MATCH($B127,Estimasi!$H$2:$H$1000,0)),""))</f>
        <v/>
      </c>
      <c r="D127" s="32" t="str">
        <f t="array" ref="D127">IF($C127="","",IFERROR(INDEX(Estimasi!$M$2:$M$1000,MATCH($C127,Estimasi!$L$2:$L$1000,0)),""))</f>
        <v/>
      </c>
      <c r="E127" s="32"/>
      <c r="F127" s="32" t="str">
        <f t="shared" si="4"/>
        <v/>
      </c>
      <c r="G127" s="11" t="str">
        <f t="shared" si="5"/>
        <v/>
      </c>
    </row>
    <row r="128" ht="15.75" customHeight="1">
      <c r="A128" s="52"/>
      <c r="B128" s="11"/>
      <c r="C128" s="11" t="str">
        <f t="array" ref="C128">IF($B128="","",IFERROR(INDEX(Estimasi!$I$2:$I$1000,MATCH($B128,Estimasi!$H$2:$H$1000,0)),""))</f>
        <v/>
      </c>
      <c r="D128" s="32" t="str">
        <f t="array" ref="D128">IF($C128="","",IFERROR(INDEX(Estimasi!$M$2:$M$1000,MATCH($C128,Estimasi!$L$2:$L$1000,0)),""))</f>
        <v/>
      </c>
      <c r="E128" s="32"/>
      <c r="F128" s="32" t="str">
        <f t="shared" si="4"/>
        <v/>
      </c>
      <c r="G128" s="11" t="str">
        <f t="shared" si="5"/>
        <v/>
      </c>
    </row>
    <row r="129" ht="15.75" customHeight="1">
      <c r="A129" s="52"/>
      <c r="B129" s="11"/>
      <c r="C129" s="11" t="str">
        <f t="array" ref="C129">IF($B129="","",IFERROR(INDEX(Estimasi!$I$2:$I$1000,MATCH($B129,Estimasi!$H$2:$H$1000,0)),""))</f>
        <v/>
      </c>
      <c r="D129" s="32" t="str">
        <f t="array" ref="D129">IF($C129="","",IFERROR(INDEX(Estimasi!$M$2:$M$1000,MATCH($C129,Estimasi!$L$2:$L$1000,0)),""))</f>
        <v/>
      </c>
      <c r="E129" s="32"/>
      <c r="F129" s="32" t="str">
        <f t="shared" si="4"/>
        <v/>
      </c>
      <c r="G129" s="11" t="str">
        <f t="shared" si="5"/>
        <v/>
      </c>
    </row>
    <row r="130" ht="15.75" customHeight="1">
      <c r="A130" s="52"/>
      <c r="B130" s="11"/>
      <c r="C130" s="11" t="str">
        <f t="array" ref="C130">IF($B130="","",IFERROR(INDEX(Estimasi!$I$2:$I$1000,MATCH($B130,Estimasi!$H$2:$H$1000,0)),""))</f>
        <v/>
      </c>
      <c r="D130" s="32" t="str">
        <f t="array" ref="D130">IF($C130="","",IFERROR(INDEX(Estimasi!$M$2:$M$1000,MATCH($C130,Estimasi!$L$2:$L$1000,0)),""))</f>
        <v/>
      </c>
      <c r="E130" s="32"/>
      <c r="F130" s="32" t="str">
        <f t="shared" si="4"/>
        <v/>
      </c>
      <c r="G130" s="11" t="str">
        <f t="shared" si="5"/>
        <v/>
      </c>
    </row>
    <row r="131" ht="15.75" customHeight="1">
      <c r="A131" s="52"/>
      <c r="B131" s="11"/>
      <c r="C131" s="11" t="str">
        <f t="array" ref="C131">IF($B131="","",IFERROR(INDEX(Estimasi!$I$2:$I$1000,MATCH($B131,Estimasi!$H$2:$H$1000,0)),""))</f>
        <v/>
      </c>
      <c r="D131" s="32" t="str">
        <f t="array" ref="D131">IF($C131="","",IFERROR(INDEX(Estimasi!$M$2:$M$1000,MATCH($C131,Estimasi!$L$2:$L$1000,0)),""))</f>
        <v/>
      </c>
      <c r="E131" s="32"/>
      <c r="F131" s="32" t="str">
        <f t="shared" si="4"/>
        <v/>
      </c>
      <c r="G131" s="11" t="str">
        <f t="shared" si="5"/>
        <v/>
      </c>
    </row>
    <row r="132" ht="15.75" customHeight="1">
      <c r="A132" s="52"/>
      <c r="B132" s="11"/>
      <c r="C132" s="11" t="str">
        <f t="array" ref="C132">IF($B132="","",IFERROR(INDEX(Estimasi!$I$2:$I$1000,MATCH($B132,Estimasi!$H$2:$H$1000,0)),""))</f>
        <v/>
      </c>
      <c r="D132" s="32" t="str">
        <f t="array" ref="D132">IF($C132="","",IFERROR(INDEX(Estimasi!$M$2:$M$1000,MATCH($C132,Estimasi!$L$2:$L$1000,0)),""))</f>
        <v/>
      </c>
      <c r="E132" s="32"/>
      <c r="F132" s="32" t="str">
        <f t="shared" si="4"/>
        <v/>
      </c>
      <c r="G132" s="11" t="str">
        <f t="shared" si="5"/>
        <v/>
      </c>
    </row>
    <row r="133" ht="15.75" customHeight="1">
      <c r="A133" s="52"/>
      <c r="B133" s="11"/>
      <c r="C133" s="11" t="str">
        <f t="array" ref="C133">IF($B133="","",IFERROR(INDEX(Estimasi!$I$2:$I$1000,MATCH($B133,Estimasi!$H$2:$H$1000,0)),""))</f>
        <v/>
      </c>
      <c r="D133" s="32" t="str">
        <f t="array" ref="D133">IF($C133="","",IFERROR(INDEX(Estimasi!$M$2:$M$1000,MATCH($C133,Estimasi!$L$2:$L$1000,0)),""))</f>
        <v/>
      </c>
      <c r="E133" s="32"/>
      <c r="F133" s="32" t="str">
        <f t="shared" si="4"/>
        <v/>
      </c>
      <c r="G133" s="11" t="str">
        <f t="shared" si="5"/>
        <v/>
      </c>
    </row>
    <row r="134" ht="15.75" customHeight="1">
      <c r="A134" s="52"/>
      <c r="B134" s="11"/>
      <c r="C134" s="11" t="str">
        <f t="array" ref="C134">IF($B134="","",IFERROR(INDEX(Estimasi!$I$2:$I$1000,MATCH($B134,Estimasi!$H$2:$H$1000,0)),""))</f>
        <v/>
      </c>
      <c r="D134" s="32" t="str">
        <f t="array" ref="D134">IF($C134="","",IFERROR(INDEX(Estimasi!$M$2:$M$1000,MATCH($C134,Estimasi!$L$2:$L$1000,0)),""))</f>
        <v/>
      </c>
      <c r="E134" s="32"/>
      <c r="F134" s="32" t="str">
        <f t="shared" si="4"/>
        <v/>
      </c>
      <c r="G134" s="11" t="str">
        <f t="shared" si="5"/>
        <v/>
      </c>
    </row>
    <row r="135" ht="15.75" customHeight="1">
      <c r="A135" s="52"/>
      <c r="B135" s="11"/>
      <c r="C135" s="11" t="str">
        <f t="array" ref="C135">IF($B135="","",IFERROR(INDEX(Estimasi!$I$2:$I$1000,MATCH($B135,Estimasi!$H$2:$H$1000,0)),""))</f>
        <v/>
      </c>
      <c r="D135" s="32" t="str">
        <f t="array" ref="D135">IF($C135="","",IFERROR(INDEX(Estimasi!$M$2:$M$1000,MATCH($C135,Estimasi!$L$2:$L$1000,0)),""))</f>
        <v/>
      </c>
      <c r="E135" s="32"/>
      <c r="F135" s="32" t="str">
        <f t="shared" si="4"/>
        <v/>
      </c>
      <c r="G135" s="11" t="str">
        <f t="shared" si="5"/>
        <v/>
      </c>
    </row>
    <row r="136" ht="15.75" customHeight="1">
      <c r="A136" s="52"/>
      <c r="B136" s="11"/>
      <c r="C136" s="11" t="str">
        <f t="array" ref="C136">IF($B136="","",IFERROR(INDEX(Estimasi!$I$2:$I$1000,MATCH($B136,Estimasi!$H$2:$H$1000,0)),""))</f>
        <v/>
      </c>
      <c r="D136" s="32" t="str">
        <f t="array" ref="D136">IF($C136="","",IFERROR(INDEX(Estimasi!$M$2:$M$1000,MATCH($C136,Estimasi!$L$2:$L$1000,0)),""))</f>
        <v/>
      </c>
      <c r="E136" s="32"/>
      <c r="F136" s="32" t="str">
        <f t="shared" si="4"/>
        <v/>
      </c>
      <c r="G136" s="11" t="str">
        <f t="shared" si="5"/>
        <v/>
      </c>
    </row>
    <row r="137" ht="15.75" customHeight="1">
      <c r="A137" s="52"/>
      <c r="B137" s="11"/>
      <c r="C137" s="11" t="str">
        <f t="array" ref="C137">IF($B137="","",IFERROR(INDEX(Estimasi!$I$2:$I$1000,MATCH($B137,Estimasi!$H$2:$H$1000,0)),""))</f>
        <v/>
      </c>
      <c r="D137" s="32" t="str">
        <f t="array" ref="D137">IF($C137="","",IFERROR(INDEX(Estimasi!$M$2:$M$1000,MATCH($C137,Estimasi!$L$2:$L$1000,0)),""))</f>
        <v/>
      </c>
      <c r="E137" s="32"/>
      <c r="F137" s="32" t="str">
        <f t="shared" si="4"/>
        <v/>
      </c>
      <c r="G137" s="11" t="str">
        <f t="shared" si="5"/>
        <v/>
      </c>
    </row>
    <row r="138" ht="15.75" customHeight="1">
      <c r="A138" s="52"/>
      <c r="B138" s="11"/>
      <c r="C138" s="11" t="str">
        <f t="array" ref="C138">IF($B138="","",IFERROR(INDEX(Estimasi!$I$2:$I$1000,MATCH($B138,Estimasi!$H$2:$H$1000,0)),""))</f>
        <v/>
      </c>
      <c r="D138" s="32" t="str">
        <f t="array" ref="D138">IF($C138="","",IFERROR(INDEX(Estimasi!$M$2:$M$1000,MATCH($C138,Estimasi!$L$2:$L$1000,0)),""))</f>
        <v/>
      </c>
      <c r="E138" s="32"/>
      <c r="F138" s="32" t="str">
        <f t="shared" si="4"/>
        <v/>
      </c>
      <c r="G138" s="11" t="str">
        <f t="shared" si="5"/>
        <v/>
      </c>
    </row>
    <row r="139" ht="15.75" customHeight="1">
      <c r="A139" s="52"/>
      <c r="B139" s="11"/>
      <c r="C139" s="11" t="str">
        <f t="array" ref="C139">IF($B139="","",IFERROR(INDEX(Estimasi!$I$2:$I$1000,MATCH($B139,Estimasi!$H$2:$H$1000,0)),""))</f>
        <v/>
      </c>
      <c r="D139" s="32" t="str">
        <f t="array" ref="D139">IF($C139="","",IFERROR(INDEX(Estimasi!$M$2:$M$1000,MATCH($C139,Estimasi!$L$2:$L$1000,0)),""))</f>
        <v/>
      </c>
      <c r="E139" s="32"/>
      <c r="F139" s="32" t="str">
        <f t="shared" si="4"/>
        <v/>
      </c>
      <c r="G139" s="11" t="str">
        <f t="shared" si="5"/>
        <v/>
      </c>
    </row>
    <row r="140" ht="15.75" customHeight="1">
      <c r="A140" s="52"/>
      <c r="B140" s="11"/>
      <c r="C140" s="11" t="str">
        <f t="array" ref="C140">IF($B140="","",IFERROR(INDEX(Estimasi!$I$2:$I$1000,MATCH($B140,Estimasi!$H$2:$H$1000,0)),""))</f>
        <v/>
      </c>
      <c r="D140" s="32" t="str">
        <f t="array" ref="D140">IF($C140="","",IFERROR(INDEX(Estimasi!$M$2:$M$1000,MATCH($C140,Estimasi!$L$2:$L$1000,0)),""))</f>
        <v/>
      </c>
      <c r="E140" s="32"/>
      <c r="F140" s="32" t="str">
        <f t="shared" si="4"/>
        <v/>
      </c>
      <c r="G140" s="11" t="str">
        <f t="shared" si="5"/>
        <v/>
      </c>
    </row>
    <row r="141" ht="15.75" customHeight="1">
      <c r="A141" s="52"/>
      <c r="B141" s="11"/>
      <c r="C141" s="11" t="str">
        <f t="array" ref="C141">IF($B141="","",IFERROR(INDEX(Estimasi!$I$2:$I$1000,MATCH($B141,Estimasi!$H$2:$H$1000,0)),""))</f>
        <v/>
      </c>
      <c r="D141" s="32" t="str">
        <f t="array" ref="D141">IF($C141="","",IFERROR(INDEX(Estimasi!$M$2:$M$1000,MATCH($C141,Estimasi!$L$2:$L$1000,0)),""))</f>
        <v/>
      </c>
      <c r="E141" s="32"/>
      <c r="F141" s="32" t="str">
        <f t="shared" si="4"/>
        <v/>
      </c>
      <c r="G141" s="11" t="str">
        <f t="shared" si="5"/>
        <v/>
      </c>
    </row>
    <row r="142" ht="15.75" customHeight="1">
      <c r="A142" s="52"/>
      <c r="B142" s="11"/>
      <c r="C142" s="11" t="str">
        <f t="array" ref="C142">IF($B142="","",IFERROR(INDEX(Estimasi!$I$2:$I$1000,MATCH($B142,Estimasi!$H$2:$H$1000,0)),""))</f>
        <v/>
      </c>
      <c r="D142" s="32" t="str">
        <f t="array" ref="D142">IF($C142="","",IFERROR(INDEX(Estimasi!$M$2:$M$1000,MATCH($C142,Estimasi!$L$2:$L$1000,0)),""))</f>
        <v/>
      </c>
      <c r="E142" s="32"/>
      <c r="F142" s="32" t="str">
        <f t="shared" si="4"/>
        <v/>
      </c>
      <c r="G142" s="11" t="str">
        <f t="shared" si="5"/>
        <v/>
      </c>
    </row>
    <row r="143" ht="15.75" customHeight="1">
      <c r="A143" s="52"/>
      <c r="B143" s="11"/>
      <c r="C143" s="11" t="str">
        <f t="array" ref="C143">IF($B143="","",IFERROR(INDEX(Estimasi!$I$2:$I$1000,MATCH($B143,Estimasi!$H$2:$H$1000,0)),""))</f>
        <v/>
      </c>
      <c r="D143" s="32" t="str">
        <f t="array" ref="D143">IF($C143="","",IFERROR(INDEX(Estimasi!$M$2:$M$1000,MATCH($C143,Estimasi!$L$2:$L$1000,0)),""))</f>
        <v/>
      </c>
      <c r="E143" s="32"/>
      <c r="F143" s="32" t="str">
        <f t="shared" si="4"/>
        <v/>
      </c>
      <c r="G143" s="11" t="str">
        <f t="shared" si="5"/>
        <v/>
      </c>
    </row>
    <row r="144" ht="15.75" customHeight="1">
      <c r="A144" s="52"/>
      <c r="B144" s="11"/>
      <c r="C144" s="11" t="str">
        <f t="array" ref="C144">IF($B144="","",IFERROR(INDEX(Estimasi!$I$2:$I$1000,MATCH($B144,Estimasi!$H$2:$H$1000,0)),""))</f>
        <v/>
      </c>
      <c r="D144" s="32" t="str">
        <f t="array" ref="D144">IF($C144="","",IFERROR(INDEX(Estimasi!$M$2:$M$1000,MATCH($C144,Estimasi!$L$2:$L$1000,0)),""))</f>
        <v/>
      </c>
      <c r="E144" s="32"/>
      <c r="F144" s="32" t="str">
        <f t="shared" si="4"/>
        <v/>
      </c>
      <c r="G144" s="11" t="str">
        <f t="shared" si="5"/>
        <v/>
      </c>
    </row>
    <row r="145" ht="15.75" customHeight="1">
      <c r="A145" s="52"/>
      <c r="B145" s="11"/>
      <c r="C145" s="11" t="str">
        <f t="array" ref="C145">IF($B145="","",IFERROR(INDEX(Estimasi!$I$2:$I$1000,MATCH($B145,Estimasi!$H$2:$H$1000,0)),""))</f>
        <v/>
      </c>
      <c r="D145" s="32" t="str">
        <f t="array" ref="D145">IF($C145="","",IFERROR(INDEX(Estimasi!$M$2:$M$1000,MATCH($C145,Estimasi!$L$2:$L$1000,0)),""))</f>
        <v/>
      </c>
      <c r="E145" s="32"/>
      <c r="F145" s="32" t="str">
        <f t="shared" si="4"/>
        <v/>
      </c>
      <c r="G145" s="11" t="str">
        <f t="shared" si="5"/>
        <v/>
      </c>
    </row>
    <row r="146" ht="15.75" customHeight="1">
      <c r="A146" s="52"/>
      <c r="B146" s="11"/>
      <c r="C146" s="11" t="str">
        <f t="array" ref="C146">IF($B146="","",IFERROR(INDEX(Estimasi!$I$2:$I$1000,MATCH($B146,Estimasi!$H$2:$H$1000,0)),""))</f>
        <v/>
      </c>
      <c r="D146" s="32" t="str">
        <f t="array" ref="D146">IF($C146="","",IFERROR(INDEX(Estimasi!$M$2:$M$1000,MATCH($C146,Estimasi!$L$2:$L$1000,0)),""))</f>
        <v/>
      </c>
      <c r="E146" s="32"/>
      <c r="F146" s="32" t="str">
        <f t="shared" si="4"/>
        <v/>
      </c>
      <c r="G146" s="11" t="str">
        <f t="shared" si="5"/>
        <v/>
      </c>
    </row>
    <row r="147" ht="15.75" customHeight="1">
      <c r="A147" s="52"/>
      <c r="B147" s="11"/>
      <c r="C147" s="11" t="str">
        <f t="array" ref="C147">IF($B147="","",IFERROR(INDEX(Estimasi!$I$2:$I$1000,MATCH($B147,Estimasi!$H$2:$H$1000,0)),""))</f>
        <v/>
      </c>
      <c r="D147" s="32" t="str">
        <f t="array" ref="D147">IF($C147="","",IFERROR(INDEX(Estimasi!$M$2:$M$1000,MATCH($C147,Estimasi!$L$2:$L$1000,0)),""))</f>
        <v/>
      </c>
      <c r="E147" s="32"/>
      <c r="F147" s="32" t="str">
        <f t="shared" si="4"/>
        <v/>
      </c>
      <c r="G147" s="11" t="str">
        <f t="shared" si="5"/>
        <v/>
      </c>
    </row>
    <row r="148" ht="15.75" customHeight="1">
      <c r="A148" s="52"/>
      <c r="B148" s="11"/>
      <c r="C148" s="11" t="str">
        <f t="array" ref="C148">IF($B148="","",IFERROR(INDEX(Estimasi!$I$2:$I$1000,MATCH($B148,Estimasi!$H$2:$H$1000,0)),""))</f>
        <v/>
      </c>
      <c r="D148" s="32" t="str">
        <f t="array" ref="D148">IF($C148="","",IFERROR(INDEX(Estimasi!$M$2:$M$1000,MATCH($C148,Estimasi!$L$2:$L$1000,0)),""))</f>
        <v/>
      </c>
      <c r="E148" s="32"/>
      <c r="F148" s="32" t="str">
        <f t="shared" si="4"/>
        <v/>
      </c>
      <c r="G148" s="11" t="str">
        <f t="shared" si="5"/>
        <v/>
      </c>
    </row>
    <row r="149" ht="15.75" customHeight="1">
      <c r="A149" s="52"/>
      <c r="B149" s="11"/>
      <c r="C149" s="11" t="str">
        <f t="array" ref="C149">IF($B149="","",IFERROR(INDEX(Estimasi!$I$2:$I$1000,MATCH($B149,Estimasi!$H$2:$H$1000,0)),""))</f>
        <v/>
      </c>
      <c r="D149" s="32" t="str">
        <f t="array" ref="D149">IF($C149="","",IFERROR(INDEX(Estimasi!$M$2:$M$1000,MATCH($C149,Estimasi!$L$2:$L$1000,0)),""))</f>
        <v/>
      </c>
      <c r="E149" s="32"/>
      <c r="F149" s="32" t="str">
        <f t="shared" si="4"/>
        <v/>
      </c>
      <c r="G149" s="11" t="str">
        <f t="shared" si="5"/>
        <v/>
      </c>
    </row>
    <row r="150" ht="15.75" customHeight="1">
      <c r="A150" s="52"/>
      <c r="B150" s="11"/>
      <c r="C150" s="11" t="str">
        <f t="array" ref="C150">IF($B150="","",IFERROR(INDEX(Estimasi!$I$2:$I$1000,MATCH($B150,Estimasi!$H$2:$H$1000,0)),""))</f>
        <v/>
      </c>
      <c r="D150" s="32" t="str">
        <f t="array" ref="D150">IF($C150="","",IFERROR(INDEX(Estimasi!$M$2:$M$1000,MATCH($C150,Estimasi!$L$2:$L$1000,0)),""))</f>
        <v/>
      </c>
      <c r="E150" s="32"/>
      <c r="F150" s="32" t="str">
        <f t="shared" si="4"/>
        <v/>
      </c>
      <c r="G150" s="11" t="str">
        <f t="shared" si="5"/>
        <v/>
      </c>
    </row>
    <row r="151" ht="15.75" customHeight="1">
      <c r="A151" s="52"/>
      <c r="B151" s="11"/>
      <c r="C151" s="11" t="str">
        <f t="array" ref="C151">IF($B151="","",IFERROR(INDEX(Estimasi!$I$2:$I$1000,MATCH($B151,Estimasi!$H$2:$H$1000,0)),""))</f>
        <v/>
      </c>
      <c r="D151" s="32" t="str">
        <f t="array" ref="D151">IF($C151="","",IFERROR(INDEX(Estimasi!$M$2:$M$1000,MATCH($C151,Estimasi!$L$2:$L$1000,0)),""))</f>
        <v/>
      </c>
      <c r="E151" s="32"/>
      <c r="F151" s="32" t="str">
        <f t="shared" si="4"/>
        <v/>
      </c>
      <c r="G151" s="11" t="str">
        <f t="shared" si="5"/>
        <v/>
      </c>
    </row>
    <row r="152" ht="15.75" customHeight="1">
      <c r="A152" s="52"/>
      <c r="B152" s="11"/>
      <c r="C152" s="11" t="str">
        <f t="array" ref="C152">IF($B152="","",IFERROR(INDEX(Estimasi!$I$2:$I$1000,MATCH($B152,Estimasi!$H$2:$H$1000,0)),""))</f>
        <v/>
      </c>
      <c r="D152" s="32" t="str">
        <f t="array" ref="D152">IF($C152="","",IFERROR(INDEX(Estimasi!$M$2:$M$1000,MATCH($C152,Estimasi!$L$2:$L$1000,0)),""))</f>
        <v/>
      </c>
      <c r="E152" s="32"/>
      <c r="F152" s="32" t="str">
        <f t="shared" si="4"/>
        <v/>
      </c>
      <c r="G152" s="11" t="str">
        <f t="shared" si="5"/>
        <v/>
      </c>
    </row>
    <row r="153" ht="15.75" customHeight="1">
      <c r="A153" s="52"/>
      <c r="B153" s="11"/>
      <c r="C153" s="11" t="str">
        <f t="array" ref="C153">IF($B153="","",IFERROR(INDEX(Estimasi!$I$2:$I$1000,MATCH($B153,Estimasi!$H$2:$H$1000,0)),""))</f>
        <v/>
      </c>
      <c r="D153" s="32" t="str">
        <f t="array" ref="D153">IF($C153="","",IFERROR(INDEX(Estimasi!$M$2:$M$1000,MATCH($C153,Estimasi!$L$2:$L$1000,0)),""))</f>
        <v/>
      </c>
      <c r="E153" s="32"/>
      <c r="F153" s="32" t="str">
        <f t="shared" si="4"/>
        <v/>
      </c>
      <c r="G153" s="11" t="str">
        <f t="shared" si="5"/>
        <v/>
      </c>
    </row>
    <row r="154" ht="15.75" customHeight="1">
      <c r="A154" s="52"/>
      <c r="B154" s="11"/>
      <c r="C154" s="11" t="str">
        <f t="array" ref="C154">IF($B154="","",IFERROR(INDEX(Estimasi!$I$2:$I$1000,MATCH($B154,Estimasi!$H$2:$H$1000,0)),""))</f>
        <v/>
      </c>
      <c r="D154" s="32" t="str">
        <f t="array" ref="D154">IF($C154="","",IFERROR(INDEX(Estimasi!$M$2:$M$1000,MATCH($C154,Estimasi!$L$2:$L$1000,0)),""))</f>
        <v/>
      </c>
      <c r="E154" s="32"/>
      <c r="F154" s="32" t="str">
        <f t="shared" si="4"/>
        <v/>
      </c>
      <c r="G154" s="11" t="str">
        <f t="shared" si="5"/>
        <v/>
      </c>
    </row>
    <row r="155" ht="15.75" customHeight="1">
      <c r="A155" s="52"/>
      <c r="B155" s="11"/>
      <c r="C155" s="11" t="str">
        <f t="array" ref="C155">IF($B155="","",IFERROR(INDEX(Estimasi!$I$2:$I$1000,MATCH($B155,Estimasi!$H$2:$H$1000,0)),""))</f>
        <v/>
      </c>
      <c r="D155" s="32" t="str">
        <f t="array" ref="D155">IF($C155="","",IFERROR(INDEX(Estimasi!$M$2:$M$1000,MATCH($C155,Estimasi!$L$2:$L$1000,0)),""))</f>
        <v/>
      </c>
      <c r="E155" s="32"/>
      <c r="F155" s="32" t="str">
        <f t="shared" si="4"/>
        <v/>
      </c>
      <c r="G155" s="11" t="str">
        <f t="shared" si="5"/>
        <v/>
      </c>
    </row>
    <row r="156" ht="15.75" customHeight="1">
      <c r="A156" s="52"/>
      <c r="B156" s="11"/>
      <c r="C156" s="11" t="str">
        <f t="array" ref="C156">IF($B156="","",IFERROR(INDEX(Estimasi!$I$2:$I$1000,MATCH($B156,Estimasi!$H$2:$H$1000,0)),""))</f>
        <v/>
      </c>
      <c r="D156" s="32" t="str">
        <f t="array" ref="D156">IF($C156="","",IFERROR(INDEX(Estimasi!$M$2:$M$1000,MATCH($C156,Estimasi!$L$2:$L$1000,0)),""))</f>
        <v/>
      </c>
      <c r="E156" s="32"/>
      <c r="F156" s="32" t="str">
        <f t="shared" si="4"/>
        <v/>
      </c>
      <c r="G156" s="11" t="str">
        <f t="shared" si="5"/>
        <v/>
      </c>
    </row>
    <row r="157" ht="15.75" customHeight="1">
      <c r="A157" s="52"/>
      <c r="B157" s="11"/>
      <c r="C157" s="11" t="str">
        <f t="array" ref="C157">IF($B157="","",IFERROR(INDEX(Estimasi!$I$2:$I$1000,MATCH($B157,Estimasi!$H$2:$H$1000,0)),""))</f>
        <v/>
      </c>
      <c r="D157" s="32" t="str">
        <f t="array" ref="D157">IF($C157="","",IFERROR(INDEX(Estimasi!$M$2:$M$1000,MATCH($C157,Estimasi!$L$2:$L$1000,0)),""))</f>
        <v/>
      </c>
      <c r="E157" s="32"/>
      <c r="F157" s="32" t="str">
        <f t="shared" si="4"/>
        <v/>
      </c>
      <c r="G157" s="11" t="str">
        <f t="shared" si="5"/>
        <v/>
      </c>
    </row>
    <row r="158" ht="15.75" customHeight="1">
      <c r="A158" s="52"/>
      <c r="B158" s="11"/>
      <c r="C158" s="11" t="str">
        <f t="array" ref="C158">IF($B158="","",IFERROR(INDEX(Estimasi!$I$2:$I$1000,MATCH($B158,Estimasi!$H$2:$H$1000,0)),""))</f>
        <v/>
      </c>
      <c r="D158" s="32" t="str">
        <f t="array" ref="D158">IF($C158="","",IFERROR(INDEX(Estimasi!$M$2:$M$1000,MATCH($C158,Estimasi!$L$2:$L$1000,0)),""))</f>
        <v/>
      </c>
      <c r="E158" s="32"/>
      <c r="F158" s="32" t="str">
        <f t="shared" si="4"/>
        <v/>
      </c>
      <c r="G158" s="11" t="str">
        <f t="shared" si="5"/>
        <v/>
      </c>
    </row>
    <row r="159" ht="15.75" customHeight="1">
      <c r="A159" s="52"/>
      <c r="B159" s="11"/>
      <c r="C159" s="11" t="str">
        <f t="array" ref="C159">IF($B159="","",IFERROR(INDEX(Estimasi!$I$2:$I$1000,MATCH($B159,Estimasi!$H$2:$H$1000,0)),""))</f>
        <v/>
      </c>
      <c r="D159" s="32" t="str">
        <f t="array" ref="D159">IF($C159="","",IFERROR(INDEX(Estimasi!$M$2:$M$1000,MATCH($C159,Estimasi!$L$2:$L$1000,0)),""))</f>
        <v/>
      </c>
      <c r="E159" s="32"/>
      <c r="F159" s="32" t="str">
        <f t="shared" si="4"/>
        <v/>
      </c>
      <c r="G159" s="11" t="str">
        <f t="shared" si="5"/>
        <v/>
      </c>
    </row>
    <row r="160" ht="15.75" customHeight="1">
      <c r="A160" s="52"/>
      <c r="B160" s="11"/>
      <c r="C160" s="11" t="str">
        <f t="array" ref="C160">IF($B160="","",IFERROR(INDEX(Estimasi!$I$2:$I$1000,MATCH($B160,Estimasi!$H$2:$H$1000,0)),""))</f>
        <v/>
      </c>
      <c r="D160" s="32" t="str">
        <f t="array" ref="D160">IF($C160="","",IFERROR(INDEX(Estimasi!$M$2:$M$1000,MATCH($C160,Estimasi!$L$2:$L$1000,0)),""))</f>
        <v/>
      </c>
      <c r="E160" s="32"/>
      <c r="F160" s="32" t="str">
        <f t="shared" si="4"/>
        <v/>
      </c>
      <c r="G160" s="11" t="str">
        <f t="shared" si="5"/>
        <v/>
      </c>
    </row>
    <row r="161" ht="15.75" customHeight="1">
      <c r="A161" s="52"/>
      <c r="B161" s="11"/>
      <c r="C161" s="11" t="str">
        <f t="array" ref="C161">IF($B161="","",IFERROR(INDEX(Estimasi!$I$2:$I$1000,MATCH($B161,Estimasi!$H$2:$H$1000,0)),""))</f>
        <v/>
      </c>
      <c r="D161" s="32" t="str">
        <f t="array" ref="D161">IF($C161="","",IFERROR(INDEX(Estimasi!$M$2:$M$1000,MATCH($C161,Estimasi!$L$2:$L$1000,0)),""))</f>
        <v/>
      </c>
      <c r="E161" s="32"/>
      <c r="F161" s="32" t="str">
        <f t="shared" si="4"/>
        <v/>
      </c>
      <c r="G161" s="11" t="str">
        <f t="shared" si="5"/>
        <v/>
      </c>
    </row>
    <row r="162" ht="15.75" customHeight="1">
      <c r="A162" s="52"/>
      <c r="B162" s="11"/>
      <c r="C162" s="11" t="str">
        <f t="array" ref="C162">IF($B162="","",IFERROR(INDEX(Estimasi!$I$2:$I$1000,MATCH($B162,Estimasi!$H$2:$H$1000,0)),""))</f>
        <v/>
      </c>
      <c r="D162" s="32" t="str">
        <f t="array" ref="D162">IF($C162="","",IFERROR(INDEX(Estimasi!$M$2:$M$1000,MATCH($C162,Estimasi!$L$2:$L$1000,0)),""))</f>
        <v/>
      </c>
      <c r="E162" s="32"/>
      <c r="F162" s="32" t="str">
        <f t="shared" si="4"/>
        <v/>
      </c>
      <c r="G162" s="11" t="str">
        <f t="shared" si="5"/>
        <v/>
      </c>
    </row>
    <row r="163" ht="15.75" customHeight="1">
      <c r="A163" s="52"/>
      <c r="B163" s="11"/>
      <c r="C163" s="11" t="str">
        <f t="array" ref="C163">IF($B163="","",IFERROR(INDEX(Estimasi!$I$2:$I$1000,MATCH($B163,Estimasi!$H$2:$H$1000,0)),""))</f>
        <v/>
      </c>
      <c r="D163" s="32" t="str">
        <f t="array" ref="D163">IF($C163="","",IFERROR(INDEX(Estimasi!$M$2:$M$1000,MATCH($C163,Estimasi!$L$2:$L$1000,0)),""))</f>
        <v/>
      </c>
      <c r="E163" s="32"/>
      <c r="F163" s="32" t="str">
        <f t="shared" si="4"/>
        <v/>
      </c>
      <c r="G163" s="11" t="str">
        <f t="shared" si="5"/>
        <v/>
      </c>
    </row>
    <row r="164" ht="15.75" customHeight="1">
      <c r="A164" s="52"/>
      <c r="B164" s="11"/>
      <c r="C164" s="11" t="str">
        <f t="array" ref="C164">IF($B164="","",IFERROR(INDEX(Estimasi!$I$2:$I$1000,MATCH($B164,Estimasi!$H$2:$H$1000,0)),""))</f>
        <v/>
      </c>
      <c r="D164" s="32" t="str">
        <f t="array" ref="D164">IF($C164="","",IFERROR(INDEX(Estimasi!$M$2:$M$1000,MATCH($C164,Estimasi!$L$2:$L$1000,0)),""))</f>
        <v/>
      </c>
      <c r="E164" s="32"/>
      <c r="F164" s="32" t="str">
        <f t="shared" si="4"/>
        <v/>
      </c>
      <c r="G164" s="11" t="str">
        <f t="shared" si="5"/>
        <v/>
      </c>
    </row>
    <row r="165" ht="15.75" customHeight="1">
      <c r="A165" s="52"/>
      <c r="B165" s="11"/>
      <c r="C165" s="11" t="str">
        <f t="array" ref="C165">IF($B165="","",IFERROR(INDEX(Estimasi!$I$2:$I$1000,MATCH($B165,Estimasi!$H$2:$H$1000,0)),""))</f>
        <v/>
      </c>
      <c r="D165" s="32" t="str">
        <f t="array" ref="D165">IF($C165="","",IFERROR(INDEX(Estimasi!$M$2:$M$1000,MATCH($C165,Estimasi!$L$2:$L$1000,0)),""))</f>
        <v/>
      </c>
      <c r="E165" s="32"/>
      <c r="F165" s="32" t="str">
        <f t="shared" si="4"/>
        <v/>
      </c>
      <c r="G165" s="11" t="str">
        <f t="shared" si="5"/>
        <v/>
      </c>
    </row>
    <row r="166" ht="15.75" customHeight="1">
      <c r="A166" s="52"/>
      <c r="B166" s="11"/>
      <c r="C166" s="11" t="str">
        <f t="array" ref="C166">IF($B166="","",IFERROR(INDEX(Estimasi!$I$2:$I$1000,MATCH($B166,Estimasi!$H$2:$H$1000,0)),""))</f>
        <v/>
      </c>
      <c r="D166" s="32" t="str">
        <f t="array" ref="D166">IF($C166="","",IFERROR(INDEX(Estimasi!$M$2:$M$1000,MATCH($C166,Estimasi!$L$2:$L$1000,0)),""))</f>
        <v/>
      </c>
      <c r="E166" s="32"/>
      <c r="F166" s="32" t="str">
        <f t="shared" si="4"/>
        <v/>
      </c>
      <c r="G166" s="11" t="str">
        <f t="shared" si="5"/>
        <v/>
      </c>
    </row>
    <row r="167" ht="15.75" customHeight="1">
      <c r="A167" s="52"/>
      <c r="B167" s="11"/>
      <c r="C167" s="11" t="str">
        <f t="array" ref="C167">IF($B167="","",IFERROR(INDEX(Estimasi!$I$2:$I$1000,MATCH($B167,Estimasi!$H$2:$H$1000,0)),""))</f>
        <v/>
      </c>
      <c r="D167" s="32" t="str">
        <f t="array" ref="D167">IF($C167="","",IFERROR(INDEX(Estimasi!$M$2:$M$1000,MATCH($C167,Estimasi!$L$2:$L$1000,0)),""))</f>
        <v/>
      </c>
      <c r="E167" s="32"/>
      <c r="F167" s="32" t="str">
        <f t="shared" si="4"/>
        <v/>
      </c>
      <c r="G167" s="11" t="str">
        <f t="shared" si="5"/>
        <v/>
      </c>
    </row>
    <row r="168" ht="15.75" customHeight="1">
      <c r="A168" s="52"/>
      <c r="B168" s="11"/>
      <c r="C168" s="11" t="str">
        <f t="array" ref="C168">IF($B168="","",IFERROR(INDEX(Estimasi!$I$2:$I$1000,MATCH($B168,Estimasi!$H$2:$H$1000,0)),""))</f>
        <v/>
      </c>
      <c r="D168" s="32" t="str">
        <f t="array" ref="D168">IF($C168="","",IFERROR(INDEX(Estimasi!$M$2:$M$1000,MATCH($C168,Estimasi!$L$2:$L$1000,0)),""))</f>
        <v/>
      </c>
      <c r="E168" s="32"/>
      <c r="F168" s="32" t="str">
        <f t="shared" si="4"/>
        <v/>
      </c>
      <c r="G168" s="11" t="str">
        <f t="shared" si="5"/>
        <v/>
      </c>
    </row>
    <row r="169" ht="15.75" customHeight="1">
      <c r="A169" s="52"/>
      <c r="B169" s="11"/>
      <c r="C169" s="11" t="str">
        <f t="array" ref="C169">IF($B169="","",IFERROR(INDEX(Estimasi!$I$2:$I$1000,MATCH($B169,Estimasi!$H$2:$H$1000,0)),""))</f>
        <v/>
      </c>
      <c r="D169" s="32" t="str">
        <f t="array" ref="D169">IF($C169="","",IFERROR(INDEX(Estimasi!$M$2:$M$1000,MATCH($C169,Estimasi!$L$2:$L$1000,0)),""))</f>
        <v/>
      </c>
      <c r="E169" s="32"/>
      <c r="F169" s="32" t="str">
        <f t="shared" si="4"/>
        <v/>
      </c>
      <c r="G169" s="11" t="str">
        <f t="shared" si="5"/>
        <v/>
      </c>
    </row>
    <row r="170" ht="15.75" customHeight="1">
      <c r="A170" s="52"/>
      <c r="B170" s="11"/>
      <c r="C170" s="11" t="str">
        <f t="array" ref="C170">IF($B170="","",IFERROR(INDEX(Estimasi!$I$2:$I$1000,MATCH($B170,Estimasi!$H$2:$H$1000,0)),""))</f>
        <v/>
      </c>
      <c r="D170" s="32" t="str">
        <f t="array" ref="D170">IF($C170="","",IFERROR(INDEX(Estimasi!$M$2:$M$1000,MATCH($C170,Estimasi!$L$2:$L$1000,0)),""))</f>
        <v/>
      </c>
      <c r="E170" s="32"/>
      <c r="F170" s="32" t="str">
        <f t="shared" si="4"/>
        <v/>
      </c>
      <c r="G170" s="11" t="str">
        <f t="shared" si="5"/>
        <v/>
      </c>
    </row>
    <row r="171" ht="15.75" customHeight="1">
      <c r="A171" s="52"/>
      <c r="B171" s="11"/>
      <c r="C171" s="11" t="str">
        <f t="array" ref="C171">IF($B171="","",IFERROR(INDEX(Estimasi!$I$2:$I$1000,MATCH($B171,Estimasi!$H$2:$H$1000,0)),""))</f>
        <v/>
      </c>
      <c r="D171" s="32" t="str">
        <f t="array" ref="D171">IF($C171="","",IFERROR(INDEX(Estimasi!$M$2:$M$1000,MATCH($C171,Estimasi!$L$2:$L$1000,0)),""))</f>
        <v/>
      </c>
      <c r="E171" s="32"/>
      <c r="F171" s="32" t="str">
        <f t="shared" si="4"/>
        <v/>
      </c>
      <c r="G171" s="11" t="str">
        <f t="shared" si="5"/>
        <v/>
      </c>
    </row>
    <row r="172" ht="15.75" customHeight="1">
      <c r="A172" s="52"/>
      <c r="B172" s="11"/>
      <c r="C172" s="11" t="str">
        <f t="array" ref="C172">IF($B172="","",IFERROR(INDEX(Estimasi!$I$2:$I$1000,MATCH($B172,Estimasi!$H$2:$H$1000,0)),""))</f>
        <v/>
      </c>
      <c r="D172" s="32" t="str">
        <f t="array" ref="D172">IF($C172="","",IFERROR(INDEX(Estimasi!$M$2:$M$1000,MATCH($C172,Estimasi!$L$2:$L$1000,0)),""))</f>
        <v/>
      </c>
      <c r="E172" s="32"/>
      <c r="F172" s="32" t="str">
        <f t="shared" si="4"/>
        <v/>
      </c>
      <c r="G172" s="11" t="str">
        <f t="shared" si="5"/>
        <v/>
      </c>
    </row>
    <row r="173" ht="15.75" customHeight="1">
      <c r="A173" s="52"/>
      <c r="B173" s="11"/>
      <c r="C173" s="11" t="str">
        <f t="array" ref="C173">IF($B173="","",IFERROR(INDEX(Estimasi!$I$2:$I$1000,MATCH($B173,Estimasi!$H$2:$H$1000,0)),""))</f>
        <v/>
      </c>
      <c r="D173" s="32" t="str">
        <f t="array" ref="D173">IF($C173="","",IFERROR(INDEX(Estimasi!$M$2:$M$1000,MATCH($C173,Estimasi!$L$2:$L$1000,0)),""))</f>
        <v/>
      </c>
      <c r="E173" s="32"/>
      <c r="F173" s="32" t="str">
        <f t="shared" si="4"/>
        <v/>
      </c>
      <c r="G173" s="11" t="str">
        <f t="shared" si="5"/>
        <v/>
      </c>
    </row>
    <row r="174" ht="15.75" customHeight="1">
      <c r="A174" s="52"/>
      <c r="B174" s="11"/>
      <c r="C174" s="11" t="str">
        <f t="array" ref="C174">IF($B174="","",IFERROR(INDEX(Estimasi!$I$2:$I$1000,MATCH($B174,Estimasi!$H$2:$H$1000,0)),""))</f>
        <v/>
      </c>
      <c r="D174" s="32" t="str">
        <f t="array" ref="D174">IF($C174="","",IFERROR(INDEX(Estimasi!$M$2:$M$1000,MATCH($C174,Estimasi!$L$2:$L$1000,0)),""))</f>
        <v/>
      </c>
      <c r="E174" s="32"/>
      <c r="F174" s="32" t="str">
        <f t="shared" si="4"/>
        <v/>
      </c>
      <c r="G174" s="11" t="str">
        <f t="shared" si="5"/>
        <v/>
      </c>
    </row>
    <row r="175" ht="15.75" customHeight="1">
      <c r="A175" s="52"/>
      <c r="B175" s="11"/>
      <c r="C175" s="11" t="str">
        <f t="array" ref="C175">IF($B175="","",IFERROR(INDEX(Estimasi!$I$2:$I$1000,MATCH($B175,Estimasi!$H$2:$H$1000,0)),""))</f>
        <v/>
      </c>
      <c r="D175" s="32" t="str">
        <f t="array" ref="D175">IF($C175="","",IFERROR(INDEX(Estimasi!$M$2:$M$1000,MATCH($C175,Estimasi!$L$2:$L$1000,0)),""))</f>
        <v/>
      </c>
      <c r="E175" s="32"/>
      <c r="F175" s="32" t="str">
        <f t="shared" si="4"/>
        <v/>
      </c>
      <c r="G175" s="11" t="str">
        <f t="shared" si="5"/>
        <v/>
      </c>
    </row>
    <row r="176" ht="15.75" customHeight="1">
      <c r="A176" s="52"/>
      <c r="B176" s="11"/>
      <c r="C176" s="11" t="str">
        <f t="array" ref="C176">IF($B176="","",IFERROR(INDEX(Estimasi!$I$2:$I$1000,MATCH($B176,Estimasi!$H$2:$H$1000,0)),""))</f>
        <v/>
      </c>
      <c r="D176" s="32" t="str">
        <f t="array" ref="D176">IF($C176="","",IFERROR(INDEX(Estimasi!$M$2:$M$1000,MATCH($C176,Estimasi!$L$2:$L$1000,0)),""))</f>
        <v/>
      </c>
      <c r="E176" s="32"/>
      <c r="F176" s="32" t="str">
        <f t="shared" si="4"/>
        <v/>
      </c>
      <c r="G176" s="11" t="str">
        <f t="shared" si="5"/>
        <v/>
      </c>
    </row>
    <row r="177" ht="15.75" customHeight="1">
      <c r="A177" s="52"/>
      <c r="B177" s="11"/>
      <c r="C177" s="11" t="str">
        <f t="array" ref="C177">IF($B177="","",IFERROR(INDEX(Estimasi!$I$2:$I$1000,MATCH($B177,Estimasi!$H$2:$H$1000,0)),""))</f>
        <v/>
      </c>
      <c r="D177" s="32" t="str">
        <f t="array" ref="D177">IF($C177="","",IFERROR(INDEX(Estimasi!$M$2:$M$1000,MATCH($C177,Estimasi!$L$2:$L$1000,0)),""))</f>
        <v/>
      </c>
      <c r="E177" s="32"/>
      <c r="F177" s="32" t="str">
        <f t="shared" si="4"/>
        <v/>
      </c>
      <c r="G177" s="11" t="str">
        <f t="shared" si="5"/>
        <v/>
      </c>
    </row>
    <row r="178" ht="15.75" customHeight="1">
      <c r="A178" s="52"/>
      <c r="B178" s="11"/>
      <c r="C178" s="11" t="str">
        <f t="array" ref="C178">IF($B178="","",IFERROR(INDEX(Estimasi!$I$2:$I$1000,MATCH($B178,Estimasi!$H$2:$H$1000,0)),""))</f>
        <v/>
      </c>
      <c r="D178" s="32" t="str">
        <f t="array" ref="D178">IF($C178="","",IFERROR(INDEX(Estimasi!$M$2:$M$1000,MATCH($C178,Estimasi!$L$2:$L$1000,0)),""))</f>
        <v/>
      </c>
      <c r="E178" s="32"/>
      <c r="F178" s="32" t="str">
        <f t="shared" si="4"/>
        <v/>
      </c>
      <c r="G178" s="11" t="str">
        <f t="shared" si="5"/>
        <v/>
      </c>
    </row>
    <row r="179" ht="15.75" customHeight="1">
      <c r="A179" s="52"/>
      <c r="B179" s="11"/>
      <c r="C179" s="11" t="str">
        <f t="array" ref="C179">IF($B179="","",IFERROR(INDEX(Estimasi!$I$2:$I$1000,MATCH($B179,Estimasi!$H$2:$H$1000,0)),""))</f>
        <v/>
      </c>
      <c r="D179" s="32" t="str">
        <f t="array" ref="D179">IF($C179="","",IFERROR(INDEX(Estimasi!$M$2:$M$1000,MATCH($C179,Estimasi!$L$2:$L$1000,0)),""))</f>
        <v/>
      </c>
      <c r="E179" s="32"/>
      <c r="F179" s="32" t="str">
        <f t="shared" si="4"/>
        <v/>
      </c>
      <c r="G179" s="11" t="str">
        <f t="shared" si="5"/>
        <v/>
      </c>
    </row>
    <row r="180" ht="15.75" customHeight="1">
      <c r="A180" s="52"/>
      <c r="B180" s="11"/>
      <c r="C180" s="11" t="str">
        <f t="array" ref="C180">IF($B180="","",IFERROR(INDEX(Estimasi!$I$2:$I$1000,MATCH($B180,Estimasi!$H$2:$H$1000,0)),""))</f>
        <v/>
      </c>
      <c r="D180" s="32" t="str">
        <f t="array" ref="D180">IF($C180="","",IFERROR(INDEX(Estimasi!$M$2:$M$1000,MATCH($C180,Estimasi!$L$2:$L$1000,0)),""))</f>
        <v/>
      </c>
      <c r="E180" s="32"/>
      <c r="F180" s="32" t="str">
        <f t="shared" si="4"/>
        <v/>
      </c>
      <c r="G180" s="11" t="str">
        <f t="shared" si="5"/>
        <v/>
      </c>
    </row>
    <row r="181" ht="15.75" customHeight="1">
      <c r="A181" s="52"/>
      <c r="B181" s="11"/>
      <c r="C181" s="11" t="str">
        <f t="array" ref="C181">IF($B181="","",IFERROR(INDEX(Estimasi!$I$2:$I$1000,MATCH($B181,Estimasi!$H$2:$H$1000,0)),""))</f>
        <v/>
      </c>
      <c r="D181" s="32" t="str">
        <f t="array" ref="D181">IF($C181="","",IFERROR(INDEX(Estimasi!$M$2:$M$1000,MATCH($C181,Estimasi!$L$2:$L$1000,0)),""))</f>
        <v/>
      </c>
      <c r="E181" s="32"/>
      <c r="F181" s="32" t="str">
        <f t="shared" si="4"/>
        <v/>
      </c>
      <c r="G181" s="11" t="str">
        <f t="shared" si="5"/>
        <v/>
      </c>
    </row>
    <row r="182" ht="15.75" customHeight="1">
      <c r="A182" s="52"/>
      <c r="B182" s="11"/>
      <c r="C182" s="11" t="str">
        <f t="array" ref="C182">IF($B182="","",IFERROR(INDEX(Estimasi!$I$2:$I$1000,MATCH($B182,Estimasi!$H$2:$H$1000,0)),""))</f>
        <v/>
      </c>
      <c r="D182" s="32" t="str">
        <f t="array" ref="D182">IF($C182="","",IFERROR(INDEX(Estimasi!$M$2:$M$1000,MATCH($C182,Estimasi!$L$2:$L$1000,0)),""))</f>
        <v/>
      </c>
      <c r="E182" s="32"/>
      <c r="F182" s="32" t="str">
        <f t="shared" si="4"/>
        <v/>
      </c>
      <c r="G182" s="11" t="str">
        <f t="shared" si="5"/>
        <v/>
      </c>
    </row>
    <row r="183" ht="15.75" customHeight="1">
      <c r="A183" s="52"/>
      <c r="B183" s="11"/>
      <c r="C183" s="11" t="str">
        <f t="array" ref="C183">IF($B183="","",IFERROR(INDEX(Estimasi!$I$2:$I$1000,MATCH($B183,Estimasi!$H$2:$H$1000,0)),""))</f>
        <v/>
      </c>
      <c r="D183" s="32" t="str">
        <f t="array" ref="D183">IF($C183="","",IFERROR(INDEX(Estimasi!$M$2:$M$1000,MATCH($C183,Estimasi!$L$2:$L$1000,0)),""))</f>
        <v/>
      </c>
      <c r="E183" s="32"/>
      <c r="F183" s="32" t="str">
        <f t="shared" si="4"/>
        <v/>
      </c>
      <c r="G183" s="11" t="str">
        <f t="shared" si="5"/>
        <v/>
      </c>
    </row>
    <row r="184" ht="15.75" customHeight="1">
      <c r="A184" s="52"/>
      <c r="B184" s="11"/>
      <c r="C184" s="11" t="str">
        <f t="array" ref="C184">IF($B184="","",IFERROR(INDEX(Estimasi!$I$2:$I$1000,MATCH($B184,Estimasi!$H$2:$H$1000,0)),""))</f>
        <v/>
      </c>
      <c r="D184" s="32" t="str">
        <f t="array" ref="D184">IF($C184="","",IFERROR(INDEX(Estimasi!$M$2:$M$1000,MATCH($C184,Estimasi!$L$2:$L$1000,0)),""))</f>
        <v/>
      </c>
      <c r="E184" s="32"/>
      <c r="F184" s="32" t="str">
        <f t="shared" si="4"/>
        <v/>
      </c>
      <c r="G184" s="11" t="str">
        <f t="shared" si="5"/>
        <v/>
      </c>
    </row>
    <row r="185" ht="15.75" customHeight="1">
      <c r="A185" s="52"/>
      <c r="B185" s="11"/>
      <c r="C185" s="11" t="str">
        <f t="array" ref="C185">IF($B185="","",IFERROR(INDEX(Estimasi!$I$2:$I$1000,MATCH($B185,Estimasi!$H$2:$H$1000,0)),""))</f>
        <v/>
      </c>
      <c r="D185" s="32" t="str">
        <f t="array" ref="D185">IF($C185="","",IFERROR(INDEX(Estimasi!$M$2:$M$1000,MATCH($C185,Estimasi!$L$2:$L$1000,0)),""))</f>
        <v/>
      </c>
      <c r="E185" s="32"/>
      <c r="F185" s="32" t="str">
        <f t="shared" si="4"/>
        <v/>
      </c>
      <c r="G185" s="11" t="str">
        <f t="shared" si="5"/>
        <v/>
      </c>
    </row>
    <row r="186" ht="15.75" customHeight="1">
      <c r="A186" s="52"/>
      <c r="B186" s="11"/>
      <c r="C186" s="11" t="str">
        <f t="array" ref="C186">IF($B186="","",IFERROR(INDEX(Estimasi!$I$2:$I$1000,MATCH($B186,Estimasi!$H$2:$H$1000,0)),""))</f>
        <v/>
      </c>
      <c r="D186" s="32" t="str">
        <f t="array" ref="D186">IF($C186="","",IFERROR(INDEX(Estimasi!$M$2:$M$1000,MATCH($C186,Estimasi!$L$2:$L$1000,0)),""))</f>
        <v/>
      </c>
      <c r="E186" s="32"/>
      <c r="F186" s="32" t="str">
        <f t="shared" si="4"/>
        <v/>
      </c>
      <c r="G186" s="11" t="str">
        <f t="shared" si="5"/>
        <v/>
      </c>
    </row>
    <row r="187" ht="15.75" customHeight="1">
      <c r="A187" s="52"/>
      <c r="B187" s="11"/>
      <c r="C187" s="11" t="str">
        <f t="array" ref="C187">IF($B187="","",IFERROR(INDEX(Estimasi!$I$2:$I$1000,MATCH($B187,Estimasi!$H$2:$H$1000,0)),""))</f>
        <v/>
      </c>
      <c r="D187" s="32" t="str">
        <f t="array" ref="D187">IF($C187="","",IFERROR(INDEX(Estimasi!$M$2:$M$1000,MATCH($C187,Estimasi!$L$2:$L$1000,0)),""))</f>
        <v/>
      </c>
      <c r="E187" s="32"/>
      <c r="F187" s="32" t="str">
        <f t="shared" si="4"/>
        <v/>
      </c>
      <c r="G187" s="11" t="str">
        <f t="shared" si="5"/>
        <v/>
      </c>
    </row>
    <row r="188" ht="15.75" customHeight="1">
      <c r="A188" s="52"/>
      <c r="B188" s="11"/>
      <c r="C188" s="11" t="str">
        <f t="array" ref="C188">IF($B188="","",IFERROR(INDEX(Estimasi!$I$2:$I$1000,MATCH($B188,Estimasi!$H$2:$H$1000,0)),""))</f>
        <v/>
      </c>
      <c r="D188" s="32" t="str">
        <f t="array" ref="D188">IF($C188="","",IFERROR(INDEX(Estimasi!$M$2:$M$1000,MATCH($C188,Estimasi!$L$2:$L$1000,0)),""))</f>
        <v/>
      </c>
      <c r="E188" s="32"/>
      <c r="F188" s="32" t="str">
        <f t="shared" si="4"/>
        <v/>
      </c>
      <c r="G188" s="11" t="str">
        <f t="shared" si="5"/>
        <v/>
      </c>
    </row>
    <row r="189" ht="15.75" customHeight="1">
      <c r="A189" s="52"/>
      <c r="B189" s="11"/>
      <c r="C189" s="11" t="str">
        <f t="array" ref="C189">IF($B189="","",IFERROR(INDEX(Estimasi!$I$2:$I$1000,MATCH($B189,Estimasi!$H$2:$H$1000,0)),""))</f>
        <v/>
      </c>
      <c r="D189" s="32" t="str">
        <f t="array" ref="D189">IF($C189="","",IFERROR(INDEX(Estimasi!$M$2:$M$1000,MATCH($C189,Estimasi!$L$2:$L$1000,0)),""))</f>
        <v/>
      </c>
      <c r="E189" s="32"/>
      <c r="F189" s="32" t="str">
        <f t="shared" si="4"/>
        <v/>
      </c>
      <c r="G189" s="11" t="str">
        <f t="shared" si="5"/>
        <v/>
      </c>
    </row>
    <row r="190" ht="15.75" customHeight="1">
      <c r="A190" s="52"/>
      <c r="B190" s="11"/>
      <c r="C190" s="11" t="str">
        <f t="array" ref="C190">IF($B190="","",IFERROR(INDEX(Estimasi!$I$2:$I$1000,MATCH($B190,Estimasi!$H$2:$H$1000,0)),""))</f>
        <v/>
      </c>
      <c r="D190" s="32" t="str">
        <f t="array" ref="D190">IF($C190="","",IFERROR(INDEX(Estimasi!$M$2:$M$1000,MATCH($C190,Estimasi!$L$2:$L$1000,0)),""))</f>
        <v/>
      </c>
      <c r="E190" s="32"/>
      <c r="F190" s="32" t="str">
        <f t="shared" si="4"/>
        <v/>
      </c>
      <c r="G190" s="11" t="str">
        <f t="shared" si="5"/>
        <v/>
      </c>
    </row>
    <row r="191" ht="15.75" customHeight="1">
      <c r="A191" s="52"/>
      <c r="B191" s="11"/>
      <c r="C191" s="11" t="str">
        <f t="array" ref="C191">IF($B191="","",IFERROR(INDEX(Estimasi!$I$2:$I$1000,MATCH($B191,Estimasi!$H$2:$H$1000,0)),""))</f>
        <v/>
      </c>
      <c r="D191" s="32" t="str">
        <f t="array" ref="D191">IF($C191="","",IFERROR(INDEX(Estimasi!$M$2:$M$1000,MATCH($C191,Estimasi!$L$2:$L$1000,0)),""))</f>
        <v/>
      </c>
      <c r="E191" s="32"/>
      <c r="F191" s="32" t="str">
        <f t="shared" si="4"/>
        <v/>
      </c>
      <c r="G191" s="11" t="str">
        <f t="shared" si="5"/>
        <v/>
      </c>
    </row>
    <row r="192" ht="15.75" customHeight="1">
      <c r="A192" s="52"/>
      <c r="B192" s="11"/>
      <c r="C192" s="11" t="str">
        <f t="array" ref="C192">IF($B192="","",IFERROR(INDEX(Estimasi!$I$2:$I$1000,MATCH($B192,Estimasi!$H$2:$H$1000,0)),""))</f>
        <v/>
      </c>
      <c r="D192" s="32" t="str">
        <f t="array" ref="D192">IF($C192="","",IFERROR(INDEX(Estimasi!$M$2:$M$1000,MATCH($C192,Estimasi!$L$2:$L$1000,0)),""))</f>
        <v/>
      </c>
      <c r="E192" s="32"/>
      <c r="F192" s="32" t="str">
        <f t="shared" si="4"/>
        <v/>
      </c>
      <c r="G192" s="11" t="str">
        <f t="shared" si="5"/>
        <v/>
      </c>
    </row>
    <row r="193" ht="15.75" customHeight="1">
      <c r="A193" s="52"/>
      <c r="B193" s="11"/>
      <c r="C193" s="11" t="str">
        <f t="array" ref="C193">IF($B193="","",IFERROR(INDEX(Estimasi!$I$2:$I$1000,MATCH($B193,Estimasi!$H$2:$H$1000,0)),""))</f>
        <v/>
      </c>
      <c r="D193" s="32" t="str">
        <f t="array" ref="D193">IF($C193="","",IFERROR(INDEX(Estimasi!$M$2:$M$1000,MATCH($C193,Estimasi!$L$2:$L$1000,0)),""))</f>
        <v/>
      </c>
      <c r="E193" s="32"/>
      <c r="F193" s="32" t="str">
        <f t="shared" si="4"/>
        <v/>
      </c>
      <c r="G193" s="11" t="str">
        <f t="shared" si="5"/>
        <v/>
      </c>
    </row>
    <row r="194" ht="15.75" customHeight="1">
      <c r="A194" s="52"/>
      <c r="B194" s="11"/>
      <c r="C194" s="11" t="str">
        <f t="array" ref="C194">IF($B194="","",IFERROR(INDEX(Estimasi!$I$2:$I$1000,MATCH($B194,Estimasi!$H$2:$H$1000,0)),""))</f>
        <v/>
      </c>
      <c r="D194" s="32" t="str">
        <f t="array" ref="D194">IF($C194="","",IFERROR(INDEX(Estimasi!$M$2:$M$1000,MATCH($C194,Estimasi!$L$2:$L$1000,0)),""))</f>
        <v/>
      </c>
      <c r="E194" s="32"/>
      <c r="F194" s="32" t="str">
        <f t="shared" si="4"/>
        <v/>
      </c>
      <c r="G194" s="11" t="str">
        <f t="shared" si="5"/>
        <v/>
      </c>
    </row>
    <row r="195" ht="15.75" customHeight="1">
      <c r="A195" s="52"/>
      <c r="B195" s="11"/>
      <c r="C195" s="11" t="str">
        <f t="array" ref="C195">IF($B195="","",IFERROR(INDEX(Estimasi!$I$2:$I$1000,MATCH($B195,Estimasi!$H$2:$H$1000,0)),""))</f>
        <v/>
      </c>
      <c r="D195" s="32" t="str">
        <f t="array" ref="D195">IF($C195="","",IFERROR(INDEX(Estimasi!$M$2:$M$1000,MATCH($C195,Estimasi!$L$2:$L$1000,0)),""))</f>
        <v/>
      </c>
      <c r="E195" s="32"/>
      <c r="F195" s="32" t="str">
        <f t="shared" si="4"/>
        <v/>
      </c>
      <c r="G195" s="11" t="str">
        <f t="shared" si="5"/>
        <v/>
      </c>
    </row>
    <row r="196" ht="15.75" customHeight="1">
      <c r="A196" s="52"/>
      <c r="B196" s="11"/>
      <c r="C196" s="11" t="str">
        <f t="array" ref="C196">IF($B196="","",IFERROR(INDEX(Estimasi!$I$2:$I$1000,MATCH($B196,Estimasi!$H$2:$H$1000,0)),""))</f>
        <v/>
      </c>
      <c r="D196" s="32" t="str">
        <f t="array" ref="D196">IF($C196="","",IFERROR(INDEX(Estimasi!$M$2:$M$1000,MATCH($C196,Estimasi!$L$2:$L$1000,0)),""))</f>
        <v/>
      </c>
      <c r="E196" s="32"/>
      <c r="F196" s="32" t="str">
        <f t="shared" si="4"/>
        <v/>
      </c>
      <c r="G196" s="11" t="str">
        <f t="shared" si="5"/>
        <v/>
      </c>
    </row>
    <row r="197" ht="15.75" customHeight="1">
      <c r="A197" s="52"/>
      <c r="B197" s="11"/>
      <c r="C197" s="11" t="str">
        <f t="array" ref="C197">IF($B197="","",IFERROR(INDEX(Estimasi!$I$2:$I$1000,MATCH($B197,Estimasi!$H$2:$H$1000,0)),""))</f>
        <v/>
      </c>
      <c r="D197" s="32" t="str">
        <f t="array" ref="D197">IF($C197="","",IFERROR(INDEX(Estimasi!$M$2:$M$1000,MATCH($C197,Estimasi!$L$2:$L$1000,0)),""))</f>
        <v/>
      </c>
      <c r="E197" s="32"/>
      <c r="F197" s="32" t="str">
        <f t="shared" si="4"/>
        <v/>
      </c>
      <c r="G197" s="11" t="str">
        <f t="shared" si="5"/>
        <v/>
      </c>
    </row>
    <row r="198" ht="15.75" customHeight="1">
      <c r="A198" s="52"/>
      <c r="B198" s="11"/>
      <c r="C198" s="11" t="str">
        <f t="array" ref="C198">IF($B198="","",IFERROR(INDEX(Estimasi!$I$2:$I$1000,MATCH($B198,Estimasi!$H$2:$H$1000,0)),""))</f>
        <v/>
      </c>
      <c r="D198" s="32" t="str">
        <f t="array" ref="D198">IF($C198="","",IFERROR(INDEX(Estimasi!$M$2:$M$1000,MATCH($C198,Estimasi!$L$2:$L$1000,0)),""))</f>
        <v/>
      </c>
      <c r="E198" s="32"/>
      <c r="F198" s="32" t="str">
        <f t="shared" si="4"/>
        <v/>
      </c>
      <c r="G198" s="11" t="str">
        <f t="shared" si="5"/>
        <v/>
      </c>
    </row>
    <row r="199" ht="15.75" customHeight="1">
      <c r="A199" s="52"/>
      <c r="B199" s="11"/>
      <c r="C199" s="11" t="str">
        <f t="array" ref="C199">IF($B199="","",IFERROR(INDEX(Estimasi!$I$2:$I$1000,MATCH($B199,Estimasi!$H$2:$H$1000,0)),""))</f>
        <v/>
      </c>
      <c r="D199" s="32" t="str">
        <f t="array" ref="D199">IF($C199="","",IFERROR(INDEX(Estimasi!$M$2:$M$1000,MATCH($C199,Estimasi!$L$2:$L$1000,0)),""))</f>
        <v/>
      </c>
      <c r="E199" s="32"/>
      <c r="F199" s="32" t="str">
        <f t="shared" si="4"/>
        <v/>
      </c>
      <c r="G199" s="11" t="str">
        <f t="shared" si="5"/>
        <v/>
      </c>
    </row>
    <row r="200" ht="15.75" customHeight="1">
      <c r="A200" s="52"/>
      <c r="B200" s="11"/>
      <c r="C200" s="11" t="str">
        <f t="array" ref="C200">IF($B200="","",IFERROR(INDEX(Estimasi!$I$2:$I$1000,MATCH($B200,Estimasi!$H$2:$H$1000,0)),""))</f>
        <v/>
      </c>
      <c r="D200" s="32" t="str">
        <f t="array" ref="D200">IF($C200="","",IFERROR(INDEX(Estimasi!$M$2:$M$1000,MATCH($C200,Estimasi!$L$2:$L$1000,0)),""))</f>
        <v/>
      </c>
      <c r="E200" s="32"/>
      <c r="F200" s="32" t="str">
        <f t="shared" si="4"/>
        <v/>
      </c>
      <c r="G200" s="11" t="str">
        <f t="shared" si="5"/>
        <v/>
      </c>
    </row>
    <row r="201" ht="15.75" customHeight="1">
      <c r="A201" s="52"/>
      <c r="B201" s="11"/>
      <c r="C201" s="11" t="str">
        <f t="array" ref="C201">IF($B201="","",IFERROR(INDEX(Estimasi!$I$2:$I$1000,MATCH($B201,Estimasi!$H$2:$H$1000,0)),""))</f>
        <v/>
      </c>
      <c r="D201" s="32" t="str">
        <f t="array" ref="D201">IF($C201="","",IFERROR(INDEX(Estimasi!$M$2:$M$1000,MATCH($C201,Estimasi!$L$2:$L$1000,0)),""))</f>
        <v/>
      </c>
      <c r="E201" s="32"/>
      <c r="F201" s="32" t="str">
        <f t="shared" si="4"/>
        <v/>
      </c>
      <c r="G201" s="11" t="str">
        <f t="shared" si="5"/>
        <v/>
      </c>
    </row>
    <row r="202" ht="15.75" customHeight="1">
      <c r="A202" s="52"/>
      <c r="B202" s="11"/>
      <c r="C202" s="11" t="str">
        <f t="array" ref="C202">IF($B202="","",IFERROR(INDEX(Estimasi!$I$2:$I$1000,MATCH($B202,Estimasi!$H$2:$H$1000,0)),""))</f>
        <v/>
      </c>
      <c r="D202" s="32" t="str">
        <f t="array" ref="D202">IF($C202="","",IFERROR(INDEX(Estimasi!$M$2:$M$1000,MATCH($C202,Estimasi!$L$2:$L$1000,0)),""))</f>
        <v/>
      </c>
      <c r="E202" s="32"/>
      <c r="F202" s="32" t="str">
        <f t="shared" si="4"/>
        <v/>
      </c>
      <c r="G202" s="11" t="str">
        <f t="shared" si="5"/>
        <v/>
      </c>
    </row>
    <row r="203" ht="15.75" customHeight="1">
      <c r="A203" s="52"/>
      <c r="B203" s="11"/>
      <c r="C203" s="11" t="str">
        <f t="array" ref="C203">IF($B203="","",IFERROR(INDEX(Estimasi!$I$2:$I$1000,MATCH($B203,Estimasi!$H$2:$H$1000,0)),""))</f>
        <v/>
      </c>
      <c r="D203" s="32" t="str">
        <f t="array" ref="D203">IF($C203="","",IFERROR(INDEX(Estimasi!$M$2:$M$1000,MATCH($C203,Estimasi!$L$2:$L$1000,0)),""))</f>
        <v/>
      </c>
      <c r="E203" s="32"/>
      <c r="F203" s="32" t="str">
        <f t="shared" si="4"/>
        <v/>
      </c>
      <c r="G203" s="11" t="str">
        <f t="shared" si="5"/>
        <v/>
      </c>
    </row>
    <row r="204" ht="15.75" customHeight="1">
      <c r="A204" s="52"/>
      <c r="B204" s="11"/>
      <c r="C204" s="11" t="str">
        <f t="array" ref="C204">IF($B204="","",IFERROR(INDEX(Estimasi!$I$2:$I$1000,MATCH($B204,Estimasi!$H$2:$H$1000,0)),""))</f>
        <v/>
      </c>
      <c r="D204" s="32" t="str">
        <f t="array" ref="D204">IF($C204="","",IFERROR(INDEX(Estimasi!$M$2:$M$1000,MATCH($C204,Estimasi!$L$2:$L$1000,0)),""))</f>
        <v/>
      </c>
      <c r="E204" s="32"/>
      <c r="F204" s="32" t="str">
        <f t="shared" si="4"/>
        <v/>
      </c>
      <c r="G204" s="11" t="str">
        <f t="shared" si="5"/>
        <v/>
      </c>
    </row>
    <row r="205" ht="15.75" customHeight="1">
      <c r="A205" s="52"/>
      <c r="B205" s="11"/>
      <c r="C205" s="11" t="str">
        <f t="array" ref="C205">IF($B205="","",IFERROR(INDEX(Estimasi!$I$2:$I$1000,MATCH($B205,Estimasi!$H$2:$H$1000,0)),""))</f>
        <v/>
      </c>
      <c r="D205" s="32" t="str">
        <f t="array" ref="D205">IF($C205="","",IFERROR(INDEX(Estimasi!$M$2:$M$1000,MATCH($C205,Estimasi!$L$2:$L$1000,0)),""))</f>
        <v/>
      </c>
      <c r="E205" s="32"/>
      <c r="F205" s="32" t="str">
        <f t="shared" si="4"/>
        <v/>
      </c>
      <c r="G205" s="11" t="str">
        <f t="shared" si="5"/>
        <v/>
      </c>
    </row>
    <row r="206" ht="15.75" customHeight="1">
      <c r="A206" s="52"/>
      <c r="B206" s="11"/>
      <c r="C206" s="11" t="str">
        <f t="array" ref="C206">IF($B206="","",IFERROR(INDEX(Estimasi!$I$2:$I$1000,MATCH($B206,Estimasi!$H$2:$H$1000,0)),""))</f>
        <v/>
      </c>
      <c r="D206" s="32" t="str">
        <f t="array" ref="D206">IF($C206="","",IFERROR(INDEX(Estimasi!$M$2:$M$1000,MATCH($C206,Estimasi!$L$2:$L$1000,0)),""))</f>
        <v/>
      </c>
      <c r="E206" s="32"/>
      <c r="F206" s="32" t="str">
        <f t="shared" si="4"/>
        <v/>
      </c>
      <c r="G206" s="11" t="str">
        <f t="shared" si="5"/>
        <v/>
      </c>
    </row>
    <row r="207" ht="15.75" customHeight="1">
      <c r="A207" s="52"/>
      <c r="B207" s="11"/>
      <c r="C207" s="11" t="str">
        <f t="array" ref="C207">IF($B207="","",IFERROR(INDEX(Estimasi!$I$2:$I$1000,MATCH($B207,Estimasi!$H$2:$H$1000,0)),""))</f>
        <v/>
      </c>
      <c r="D207" s="32" t="str">
        <f t="array" ref="D207">IF($C207="","",IFERROR(INDEX(Estimasi!$M$2:$M$1000,MATCH($C207,Estimasi!$L$2:$L$1000,0)),""))</f>
        <v/>
      </c>
      <c r="E207" s="32"/>
      <c r="F207" s="32" t="str">
        <f t="shared" si="4"/>
        <v/>
      </c>
      <c r="G207" s="11" t="str">
        <f t="shared" si="5"/>
        <v/>
      </c>
    </row>
    <row r="208" ht="15.75" customHeight="1">
      <c r="A208" s="52"/>
      <c r="B208" s="11"/>
      <c r="C208" s="11" t="str">
        <f t="array" ref="C208">IF($B208="","",IFERROR(INDEX(Estimasi!$I$2:$I$1000,MATCH($B208,Estimasi!$H$2:$H$1000,0)),""))</f>
        <v/>
      </c>
      <c r="D208" s="32" t="str">
        <f t="array" ref="D208">IF($C208="","",IFERROR(INDEX(Estimasi!$M$2:$M$1000,MATCH($C208,Estimasi!$L$2:$L$1000,0)),""))</f>
        <v/>
      </c>
      <c r="E208" s="32"/>
      <c r="F208" s="32" t="str">
        <f t="shared" si="4"/>
        <v/>
      </c>
      <c r="G208" s="11" t="str">
        <f t="shared" si="5"/>
        <v/>
      </c>
    </row>
    <row r="209" ht="15.75" customHeight="1">
      <c r="A209" s="52"/>
      <c r="B209" s="11"/>
      <c r="C209" s="11" t="str">
        <f t="array" ref="C209">IF($B209="","",IFERROR(INDEX(Estimasi!$I$2:$I$1000,MATCH($B209,Estimasi!$H$2:$H$1000,0)),""))</f>
        <v/>
      </c>
      <c r="D209" s="32" t="str">
        <f t="array" ref="D209">IF($C209="","",IFERROR(INDEX(Estimasi!$M$2:$M$1000,MATCH($C209,Estimasi!$L$2:$L$1000,0)),""))</f>
        <v/>
      </c>
      <c r="E209" s="32"/>
      <c r="F209" s="32" t="str">
        <f t="shared" si="4"/>
        <v/>
      </c>
      <c r="G209" s="11" t="str">
        <f t="shared" si="5"/>
        <v/>
      </c>
    </row>
    <row r="210" ht="15.75" customHeight="1">
      <c r="A210" s="52"/>
      <c r="B210" s="11"/>
      <c r="C210" s="11" t="str">
        <f t="array" ref="C210">IF($B210="","",IFERROR(INDEX(Estimasi!$I$2:$I$1000,MATCH($B210,Estimasi!$H$2:$H$1000,0)),""))</f>
        <v/>
      </c>
      <c r="D210" s="32" t="str">
        <f t="array" ref="D210">IF($C210="","",IFERROR(INDEX(Estimasi!$M$2:$M$1000,MATCH($C210,Estimasi!$L$2:$L$1000,0)),""))</f>
        <v/>
      </c>
      <c r="E210" s="32"/>
      <c r="F210" s="32" t="str">
        <f t="shared" si="4"/>
        <v/>
      </c>
      <c r="G210" s="11" t="str">
        <f t="shared" si="5"/>
        <v/>
      </c>
    </row>
    <row r="211" ht="15.75" customHeight="1">
      <c r="A211" s="52"/>
      <c r="B211" s="11"/>
      <c r="C211" s="11" t="str">
        <f t="array" ref="C211">IF($B211="","",IFERROR(INDEX(Estimasi!$I$2:$I$1000,MATCH($B211,Estimasi!$H$2:$H$1000,0)),""))</f>
        <v/>
      </c>
      <c r="D211" s="32" t="str">
        <f t="array" ref="D211">IF($C211="","",IFERROR(INDEX(Estimasi!$M$2:$M$1000,MATCH($C211,Estimasi!$L$2:$L$1000,0)),""))</f>
        <v/>
      </c>
      <c r="E211" s="32"/>
      <c r="F211" s="32" t="str">
        <f t="shared" si="4"/>
        <v/>
      </c>
      <c r="G211" s="11" t="str">
        <f t="shared" si="5"/>
        <v/>
      </c>
    </row>
    <row r="212" ht="15.75" customHeight="1">
      <c r="A212" s="52"/>
      <c r="B212" s="11"/>
      <c r="C212" s="11" t="str">
        <f t="array" ref="C212">IF($B212="","",IFERROR(INDEX(Estimasi!$I$2:$I$1000,MATCH($B212,Estimasi!$H$2:$H$1000,0)),""))</f>
        <v/>
      </c>
      <c r="D212" s="32" t="str">
        <f t="array" ref="D212">IF($C212="","",IFERROR(INDEX(Estimasi!$M$2:$M$1000,MATCH($C212,Estimasi!$L$2:$L$1000,0)),""))</f>
        <v/>
      </c>
      <c r="E212" s="32"/>
      <c r="F212" s="32" t="str">
        <f t="shared" si="4"/>
        <v/>
      </c>
      <c r="G212" s="11" t="str">
        <f t="shared" si="5"/>
        <v/>
      </c>
    </row>
    <row r="213" ht="15.75" customHeight="1">
      <c r="A213" s="52"/>
      <c r="B213" s="11"/>
      <c r="C213" s="11" t="str">
        <f t="array" ref="C213">IF($B213="","",IFERROR(INDEX(Estimasi!$I$2:$I$1000,MATCH($B213,Estimasi!$H$2:$H$1000,0)),""))</f>
        <v/>
      </c>
      <c r="D213" s="32" t="str">
        <f t="array" ref="D213">IF($C213="","",IFERROR(INDEX(Estimasi!$M$2:$M$1000,MATCH($C213,Estimasi!$L$2:$L$1000,0)),""))</f>
        <v/>
      </c>
      <c r="E213" s="32"/>
      <c r="F213" s="32" t="str">
        <f t="shared" si="4"/>
        <v/>
      </c>
      <c r="G213" s="11" t="str">
        <f t="shared" si="5"/>
        <v/>
      </c>
    </row>
    <row r="214" ht="15.75" customHeight="1">
      <c r="A214" s="52"/>
      <c r="B214" s="11"/>
      <c r="C214" s="11" t="str">
        <f t="array" ref="C214">IF($B214="","",IFERROR(INDEX(Estimasi!$I$2:$I$1000,MATCH($B214,Estimasi!$H$2:$H$1000,0)),""))</f>
        <v/>
      </c>
      <c r="D214" s="32" t="str">
        <f t="array" ref="D214">IF($C214="","",IFERROR(INDEX(Estimasi!$M$2:$M$1000,MATCH($C214,Estimasi!$L$2:$L$1000,0)),""))</f>
        <v/>
      </c>
      <c r="E214" s="32"/>
      <c r="F214" s="32" t="str">
        <f t="shared" si="4"/>
        <v/>
      </c>
      <c r="G214" s="11" t="str">
        <f t="shared" si="5"/>
        <v/>
      </c>
    </row>
    <row r="215" ht="15.75" customHeight="1">
      <c r="A215" s="52"/>
      <c r="B215" s="11"/>
      <c r="C215" s="11" t="str">
        <f t="array" ref="C215">IF($B215="","",IFERROR(INDEX(Estimasi!$I$2:$I$1000,MATCH($B215,Estimasi!$H$2:$H$1000,0)),""))</f>
        <v/>
      </c>
      <c r="D215" s="32" t="str">
        <f t="array" ref="D215">IF($C215="","",IFERROR(INDEX(Estimasi!$M$2:$M$1000,MATCH($C215,Estimasi!$L$2:$L$1000,0)),""))</f>
        <v/>
      </c>
      <c r="E215" s="32"/>
      <c r="F215" s="32" t="str">
        <f t="shared" si="4"/>
        <v/>
      </c>
      <c r="G215" s="11" t="str">
        <f t="shared" si="5"/>
        <v/>
      </c>
    </row>
    <row r="216" ht="15.75" customHeight="1">
      <c r="A216" s="52"/>
      <c r="B216" s="11"/>
      <c r="C216" s="11" t="str">
        <f t="array" ref="C216">IF($B216="","",IFERROR(INDEX(Estimasi!$I$2:$I$1000,MATCH($B216,Estimasi!$H$2:$H$1000,0)),""))</f>
        <v/>
      </c>
      <c r="D216" s="32" t="str">
        <f t="array" ref="D216">IF($C216="","",IFERROR(INDEX(Estimasi!$M$2:$M$1000,MATCH($C216,Estimasi!$L$2:$L$1000,0)),""))</f>
        <v/>
      </c>
      <c r="E216" s="32"/>
      <c r="F216" s="32" t="str">
        <f t="shared" si="4"/>
        <v/>
      </c>
      <c r="G216" s="11" t="str">
        <f t="shared" si="5"/>
        <v/>
      </c>
    </row>
    <row r="217" ht="15.75" customHeight="1">
      <c r="A217" s="52"/>
      <c r="B217" s="11"/>
      <c r="C217" s="11" t="str">
        <f t="array" ref="C217">IF($B217="","",IFERROR(INDEX(Estimasi!$I$2:$I$1000,MATCH($B217,Estimasi!$H$2:$H$1000,0)),""))</f>
        <v/>
      </c>
      <c r="D217" s="32" t="str">
        <f t="array" ref="D217">IF($C217="","",IFERROR(INDEX(Estimasi!$M$2:$M$1000,MATCH($C217,Estimasi!$L$2:$L$1000,0)),""))</f>
        <v/>
      </c>
      <c r="E217" s="32"/>
      <c r="F217" s="32" t="str">
        <f t="shared" si="4"/>
        <v/>
      </c>
      <c r="G217" s="11" t="str">
        <f t="shared" si="5"/>
        <v/>
      </c>
    </row>
    <row r="218" ht="15.75" customHeight="1">
      <c r="A218" s="52"/>
      <c r="B218" s="11"/>
      <c r="C218" s="11" t="str">
        <f t="array" ref="C218">IF($B218="","",IFERROR(INDEX(Estimasi!$I$2:$I$1000,MATCH($B218,Estimasi!$H$2:$H$1000,0)),""))</f>
        <v/>
      </c>
      <c r="D218" s="32" t="str">
        <f t="array" ref="D218">IF($C218="","",IFERROR(INDEX(Estimasi!$M$2:$M$1000,MATCH($C218,Estimasi!$L$2:$L$1000,0)),""))</f>
        <v/>
      </c>
      <c r="E218" s="32"/>
      <c r="F218" s="32" t="str">
        <f t="shared" si="4"/>
        <v/>
      </c>
      <c r="G218" s="11" t="str">
        <f t="shared" si="5"/>
        <v/>
      </c>
    </row>
    <row r="219" ht="15.75" customHeight="1">
      <c r="A219" s="52"/>
      <c r="B219" s="11"/>
      <c r="C219" s="11" t="str">
        <f t="array" ref="C219">IF($B219="","",IFERROR(INDEX(Estimasi!$I$2:$I$1000,MATCH($B219,Estimasi!$H$2:$H$1000,0)),""))</f>
        <v/>
      </c>
      <c r="D219" s="32" t="str">
        <f t="array" ref="D219">IF($C219="","",IFERROR(INDEX(Estimasi!$M$2:$M$1000,MATCH($C219,Estimasi!$L$2:$L$1000,0)),""))</f>
        <v/>
      </c>
      <c r="E219" s="32"/>
      <c r="F219" s="32" t="str">
        <f t="shared" si="4"/>
        <v/>
      </c>
      <c r="G219" s="11" t="str">
        <f t="shared" si="5"/>
        <v/>
      </c>
    </row>
    <row r="220" ht="15.75" customHeight="1">
      <c r="A220" s="52"/>
      <c r="B220" s="11"/>
      <c r="C220" s="11" t="str">
        <f t="array" ref="C220">IF($B220="","",IFERROR(INDEX(Estimasi!$I$2:$I$1000,MATCH($B220,Estimasi!$H$2:$H$1000,0)),""))</f>
        <v/>
      </c>
      <c r="D220" s="32" t="str">
        <f t="array" ref="D220">IF($C220="","",IFERROR(INDEX(Estimasi!$M$2:$M$1000,MATCH($C220,Estimasi!$L$2:$L$1000,0)),""))</f>
        <v/>
      </c>
      <c r="E220" s="32"/>
      <c r="F220" s="32" t="str">
        <f t="shared" si="4"/>
        <v/>
      </c>
      <c r="G220" s="11" t="str">
        <f t="shared" si="5"/>
        <v/>
      </c>
    </row>
    <row r="221" ht="15.75" customHeight="1">
      <c r="A221" s="52"/>
      <c r="B221" s="11"/>
      <c r="C221" s="11" t="str">
        <f t="array" ref="C221">IF($B221="","",IFERROR(INDEX(Estimasi!$I$2:$I$1000,MATCH($B221,Estimasi!$H$2:$H$1000,0)),""))</f>
        <v/>
      </c>
      <c r="D221" s="32" t="str">
        <f t="array" ref="D221">IF($C221="","",IFERROR(INDEX(Estimasi!$M$2:$M$1000,MATCH($C221,Estimasi!$L$2:$L$1000,0)),""))</f>
        <v/>
      </c>
      <c r="E221" s="32"/>
      <c r="F221" s="32" t="str">
        <f t="shared" si="4"/>
        <v/>
      </c>
      <c r="G221" s="11" t="str">
        <f t="shared" si="5"/>
        <v/>
      </c>
    </row>
    <row r="222" ht="15.75" customHeight="1">
      <c r="A222" s="52"/>
      <c r="B222" s="11"/>
      <c r="C222" s="11" t="str">
        <f t="array" ref="C222">IF($B222="","",IFERROR(INDEX(Estimasi!$I$2:$I$1000,MATCH($B222,Estimasi!$H$2:$H$1000,0)),""))</f>
        <v/>
      </c>
      <c r="D222" s="32" t="str">
        <f t="array" ref="D222">IF($C222="","",IFERROR(INDEX(Estimasi!$M$2:$M$1000,MATCH($C222,Estimasi!$L$2:$L$1000,0)),""))</f>
        <v/>
      </c>
      <c r="E222" s="32"/>
      <c r="F222" s="32" t="str">
        <f t="shared" si="4"/>
        <v/>
      </c>
      <c r="G222" s="11" t="str">
        <f t="shared" si="5"/>
        <v/>
      </c>
    </row>
    <row r="223" ht="15.75" customHeight="1">
      <c r="A223" s="52"/>
      <c r="B223" s="11"/>
      <c r="C223" s="11" t="str">
        <f t="array" ref="C223">IF($B223="","",IFERROR(INDEX(Estimasi!$I$2:$I$1000,MATCH($B223,Estimasi!$H$2:$H$1000,0)),""))</f>
        <v/>
      </c>
      <c r="D223" s="32" t="str">
        <f t="array" ref="D223">IF($C223="","",IFERROR(INDEX(Estimasi!$M$2:$M$1000,MATCH($C223,Estimasi!$L$2:$L$1000,0)),""))</f>
        <v/>
      </c>
      <c r="E223" s="32"/>
      <c r="F223" s="32" t="str">
        <f t="shared" si="4"/>
        <v/>
      </c>
      <c r="G223" s="11" t="str">
        <f t="shared" si="5"/>
        <v/>
      </c>
    </row>
    <row r="224" ht="15.75" customHeight="1">
      <c r="A224" s="52"/>
      <c r="B224" s="11"/>
      <c r="C224" s="11" t="str">
        <f t="array" ref="C224">IF($B224="","",IFERROR(INDEX(Estimasi!$I$2:$I$1000,MATCH($B224,Estimasi!$H$2:$H$1000,0)),""))</f>
        <v/>
      </c>
      <c r="D224" s="32" t="str">
        <f t="array" ref="D224">IF($C224="","",IFERROR(INDEX(Estimasi!$M$2:$M$1000,MATCH($C224,Estimasi!$L$2:$L$1000,0)),""))</f>
        <v/>
      </c>
      <c r="E224" s="32"/>
      <c r="F224" s="32" t="str">
        <f t="shared" si="4"/>
        <v/>
      </c>
      <c r="G224" s="11" t="str">
        <f t="shared" si="5"/>
        <v/>
      </c>
    </row>
    <row r="225" ht="15.75" customHeight="1">
      <c r="A225" s="52"/>
      <c r="B225" s="11"/>
      <c r="C225" s="11" t="str">
        <f t="array" ref="C225">IF($B225="","",IFERROR(INDEX(Estimasi!$I$2:$I$1000,MATCH($B225,Estimasi!$H$2:$H$1000,0)),""))</f>
        <v/>
      </c>
      <c r="D225" s="32" t="str">
        <f t="array" ref="D225">IF($C225="","",IFERROR(INDEX(Estimasi!$M$2:$M$1000,MATCH($C225,Estimasi!$L$2:$L$1000,0)),""))</f>
        <v/>
      </c>
      <c r="E225" s="32"/>
      <c r="F225" s="32" t="str">
        <f t="shared" si="4"/>
        <v/>
      </c>
      <c r="G225" s="11" t="str">
        <f t="shared" si="5"/>
        <v/>
      </c>
    </row>
    <row r="226" ht="15.75" customHeight="1">
      <c r="A226" s="52"/>
      <c r="B226" s="11"/>
      <c r="C226" s="11" t="str">
        <f t="array" ref="C226">IF($B226="","",IFERROR(INDEX(Estimasi!$I$2:$I$1000,MATCH($B226,Estimasi!$H$2:$H$1000,0)),""))</f>
        <v/>
      </c>
      <c r="D226" s="32" t="str">
        <f t="array" ref="D226">IF($C226="","",IFERROR(INDEX(Estimasi!$M$2:$M$1000,MATCH($C226,Estimasi!$L$2:$L$1000,0)),""))</f>
        <v/>
      </c>
      <c r="E226" s="32"/>
      <c r="F226" s="32" t="str">
        <f t="shared" si="4"/>
        <v/>
      </c>
      <c r="G226" s="11" t="str">
        <f t="shared" si="5"/>
        <v/>
      </c>
    </row>
    <row r="227" ht="15.75" customHeight="1">
      <c r="A227" s="52"/>
      <c r="B227" s="11"/>
      <c r="C227" s="11" t="str">
        <f t="array" ref="C227">IF($B227="","",IFERROR(INDEX(Estimasi!$I$2:$I$1000,MATCH($B227,Estimasi!$H$2:$H$1000,0)),""))</f>
        <v/>
      </c>
      <c r="D227" s="32" t="str">
        <f t="array" ref="D227">IF($C227="","",IFERROR(INDEX(Estimasi!$M$2:$M$1000,MATCH($C227,Estimasi!$L$2:$L$1000,0)),""))</f>
        <v/>
      </c>
      <c r="E227" s="32"/>
      <c r="F227" s="32" t="str">
        <f t="shared" si="4"/>
        <v/>
      </c>
      <c r="G227" s="11" t="str">
        <f t="shared" si="5"/>
        <v/>
      </c>
    </row>
    <row r="228" ht="15.75" customHeight="1">
      <c r="A228" s="52"/>
      <c r="B228" s="11"/>
      <c r="C228" s="11" t="str">
        <f t="array" ref="C228">IF($B228="","",IFERROR(INDEX(Estimasi!$I$2:$I$1000,MATCH($B228,Estimasi!$H$2:$H$1000,0)),""))</f>
        <v/>
      </c>
      <c r="D228" s="32" t="str">
        <f t="array" ref="D228">IF($C228="","",IFERROR(INDEX(Estimasi!$M$2:$M$1000,MATCH($C228,Estimasi!$L$2:$L$1000,0)),""))</f>
        <v/>
      </c>
      <c r="E228" s="32"/>
      <c r="F228" s="32" t="str">
        <f t="shared" si="4"/>
        <v/>
      </c>
      <c r="G228" s="11" t="str">
        <f t="shared" si="5"/>
        <v/>
      </c>
    </row>
    <row r="229" ht="15.75" customHeight="1">
      <c r="A229" s="52"/>
      <c r="B229" s="11"/>
      <c r="C229" s="11" t="str">
        <f t="array" ref="C229">IF($B229="","",IFERROR(INDEX(Estimasi!$I$2:$I$1000,MATCH($B229,Estimasi!$H$2:$H$1000,0)),""))</f>
        <v/>
      </c>
      <c r="D229" s="32" t="str">
        <f t="array" ref="D229">IF($C229="","",IFERROR(INDEX(Estimasi!$M$2:$M$1000,MATCH($C229,Estimasi!$L$2:$L$1000,0)),""))</f>
        <v/>
      </c>
      <c r="E229" s="32"/>
      <c r="F229" s="32" t="str">
        <f t="shared" si="4"/>
        <v/>
      </c>
      <c r="G229" s="11" t="str">
        <f t="shared" si="5"/>
        <v/>
      </c>
    </row>
    <row r="230" ht="15.75" customHeight="1">
      <c r="A230" s="52"/>
      <c r="B230" s="11"/>
      <c r="C230" s="11" t="str">
        <f t="array" ref="C230">IF($B230="","",IFERROR(INDEX(Estimasi!$I$2:$I$1000,MATCH($B230,Estimasi!$H$2:$H$1000,0)),""))</f>
        <v/>
      </c>
      <c r="D230" s="32" t="str">
        <f t="array" ref="D230">IF($C230="","",IFERROR(INDEX(Estimasi!$M$2:$M$1000,MATCH($C230,Estimasi!$L$2:$L$1000,0)),""))</f>
        <v/>
      </c>
      <c r="E230" s="32"/>
      <c r="F230" s="32" t="str">
        <f t="shared" si="4"/>
        <v/>
      </c>
      <c r="G230" s="11" t="str">
        <f t="shared" si="5"/>
        <v/>
      </c>
    </row>
    <row r="231" ht="15.75" customHeight="1">
      <c r="A231" s="52"/>
      <c r="B231" s="11"/>
      <c r="C231" s="11" t="str">
        <f t="array" ref="C231">IF($B231="","",IFERROR(INDEX(Estimasi!$I$2:$I$1000,MATCH($B231,Estimasi!$H$2:$H$1000,0)),""))</f>
        <v/>
      </c>
      <c r="D231" s="32" t="str">
        <f t="array" ref="D231">IF($C231="","",IFERROR(INDEX(Estimasi!$M$2:$M$1000,MATCH($C231,Estimasi!$L$2:$L$1000,0)),""))</f>
        <v/>
      </c>
      <c r="E231" s="32"/>
      <c r="F231" s="32" t="str">
        <f t="shared" si="4"/>
        <v/>
      </c>
      <c r="G231" s="11" t="str">
        <f t="shared" si="5"/>
        <v/>
      </c>
    </row>
    <row r="232" ht="15.75" customHeight="1">
      <c r="A232" s="52"/>
      <c r="B232" s="11"/>
      <c r="C232" s="11" t="str">
        <f t="array" ref="C232">IF($B232="","",IFERROR(INDEX(Estimasi!$I$2:$I$1000,MATCH($B232,Estimasi!$H$2:$H$1000,0)),""))</f>
        <v/>
      </c>
      <c r="D232" s="32" t="str">
        <f t="array" ref="D232">IF($C232="","",IFERROR(INDEX(Estimasi!$M$2:$M$1000,MATCH($C232,Estimasi!$L$2:$L$1000,0)),""))</f>
        <v/>
      </c>
      <c r="E232" s="32"/>
      <c r="F232" s="32" t="str">
        <f t="shared" si="4"/>
        <v/>
      </c>
      <c r="G232" s="11" t="str">
        <f t="shared" si="5"/>
        <v/>
      </c>
    </row>
    <row r="233" ht="15.75" customHeight="1">
      <c r="A233" s="52"/>
      <c r="B233" s="11"/>
      <c r="C233" s="11" t="str">
        <f t="array" ref="C233">IF($B233="","",IFERROR(INDEX(Estimasi!$I$2:$I$1000,MATCH($B233,Estimasi!$H$2:$H$1000,0)),""))</f>
        <v/>
      </c>
      <c r="D233" s="32" t="str">
        <f t="array" ref="D233">IF($C233="","",IFERROR(INDEX(Estimasi!$M$2:$M$1000,MATCH($C233,Estimasi!$L$2:$L$1000,0)),""))</f>
        <v/>
      </c>
      <c r="E233" s="32"/>
      <c r="F233" s="32" t="str">
        <f t="shared" si="4"/>
        <v/>
      </c>
      <c r="G233" s="11" t="str">
        <f t="shared" si="5"/>
        <v/>
      </c>
    </row>
    <row r="234" ht="15.75" customHeight="1">
      <c r="A234" s="52"/>
      <c r="B234" s="11"/>
      <c r="C234" s="11" t="str">
        <f t="array" ref="C234">IF($B234="","",IFERROR(INDEX(Estimasi!$I$2:$I$1000,MATCH($B234,Estimasi!$H$2:$H$1000,0)),""))</f>
        <v/>
      </c>
      <c r="D234" s="32" t="str">
        <f t="array" ref="D234">IF($C234="","",IFERROR(INDEX(Estimasi!$M$2:$M$1000,MATCH($C234,Estimasi!$L$2:$L$1000,0)),""))</f>
        <v/>
      </c>
      <c r="E234" s="32"/>
      <c r="F234" s="32" t="str">
        <f t="shared" si="4"/>
        <v/>
      </c>
      <c r="G234" s="11" t="str">
        <f t="shared" si="5"/>
        <v/>
      </c>
    </row>
    <row r="235" ht="15.75" customHeight="1">
      <c r="A235" s="52"/>
      <c r="B235" s="11"/>
      <c r="C235" s="11" t="str">
        <f t="array" ref="C235">IF($B235="","",IFERROR(INDEX(Estimasi!$I$2:$I$1000,MATCH($B235,Estimasi!$H$2:$H$1000,0)),""))</f>
        <v/>
      </c>
      <c r="D235" s="32" t="str">
        <f t="array" ref="D235">IF($C235="","",IFERROR(INDEX(Estimasi!$M$2:$M$1000,MATCH($C235,Estimasi!$L$2:$L$1000,0)),""))</f>
        <v/>
      </c>
      <c r="E235" s="32"/>
      <c r="F235" s="32" t="str">
        <f t="shared" si="4"/>
        <v/>
      </c>
      <c r="G235" s="11" t="str">
        <f t="shared" si="5"/>
        <v/>
      </c>
    </row>
    <row r="236" ht="15.75" customHeight="1">
      <c r="A236" s="52"/>
      <c r="B236" s="11"/>
      <c r="C236" s="11" t="str">
        <f t="array" ref="C236">IF($B236="","",IFERROR(INDEX(Estimasi!$I$2:$I$1000,MATCH($B236,Estimasi!$H$2:$H$1000,0)),""))</f>
        <v/>
      </c>
      <c r="D236" s="32" t="str">
        <f t="array" ref="D236">IF($C236="","",IFERROR(INDEX(Estimasi!$M$2:$M$1000,MATCH($C236,Estimasi!$L$2:$L$1000,0)),""))</f>
        <v/>
      </c>
      <c r="E236" s="32"/>
      <c r="F236" s="32" t="str">
        <f t="shared" si="4"/>
        <v/>
      </c>
      <c r="G236" s="11" t="str">
        <f t="shared" si="5"/>
        <v/>
      </c>
    </row>
    <row r="237" ht="15.75" customHeight="1">
      <c r="A237" s="52"/>
      <c r="B237" s="11"/>
      <c r="C237" s="11" t="str">
        <f t="array" ref="C237">IF($B237="","",IFERROR(INDEX(Estimasi!$I$2:$I$1000,MATCH($B237,Estimasi!$H$2:$H$1000,0)),""))</f>
        <v/>
      </c>
      <c r="D237" s="32" t="str">
        <f t="array" ref="D237">IF($C237="","",IFERROR(INDEX(Estimasi!$M$2:$M$1000,MATCH($C237,Estimasi!$L$2:$L$1000,0)),""))</f>
        <v/>
      </c>
      <c r="E237" s="32"/>
      <c r="F237" s="32" t="str">
        <f t="shared" si="4"/>
        <v/>
      </c>
      <c r="G237" s="11" t="str">
        <f t="shared" si="5"/>
        <v/>
      </c>
    </row>
    <row r="238" ht="15.75" customHeight="1">
      <c r="A238" s="52"/>
      <c r="B238" s="11"/>
      <c r="C238" s="11" t="str">
        <f t="array" ref="C238">IF($B238="","",IFERROR(INDEX(Estimasi!$I$2:$I$1000,MATCH($B238,Estimasi!$H$2:$H$1000,0)),""))</f>
        <v/>
      </c>
      <c r="D238" s="32" t="str">
        <f t="array" ref="D238">IF($C238="","",IFERROR(INDEX(Estimasi!$M$2:$M$1000,MATCH($C238,Estimasi!$L$2:$L$1000,0)),""))</f>
        <v/>
      </c>
      <c r="E238" s="32"/>
      <c r="F238" s="32" t="str">
        <f t="shared" si="4"/>
        <v/>
      </c>
      <c r="G238" s="11" t="str">
        <f t="shared" si="5"/>
        <v/>
      </c>
    </row>
    <row r="239" ht="15.75" customHeight="1">
      <c r="A239" s="52"/>
      <c r="B239" s="11"/>
      <c r="C239" s="11" t="str">
        <f t="array" ref="C239">IF($B239="","",IFERROR(INDEX(Estimasi!$I$2:$I$1000,MATCH($B239,Estimasi!$H$2:$H$1000,0)),""))</f>
        <v/>
      </c>
      <c r="D239" s="32" t="str">
        <f t="array" ref="D239">IF($C239="","",IFERROR(INDEX(Estimasi!$M$2:$M$1000,MATCH($C239,Estimasi!$L$2:$L$1000,0)),""))</f>
        <v/>
      </c>
      <c r="E239" s="32"/>
      <c r="F239" s="32" t="str">
        <f t="shared" si="4"/>
        <v/>
      </c>
      <c r="G239" s="11" t="str">
        <f t="shared" si="5"/>
        <v/>
      </c>
    </row>
    <row r="240" ht="15.75" customHeight="1">
      <c r="A240" s="52"/>
      <c r="B240" s="11"/>
      <c r="C240" s="11" t="str">
        <f t="array" ref="C240">IF($B240="","",IFERROR(INDEX(Estimasi!$I$2:$I$1000,MATCH($B240,Estimasi!$H$2:$H$1000,0)),""))</f>
        <v/>
      </c>
      <c r="D240" s="32" t="str">
        <f t="array" ref="D240">IF($C240="","",IFERROR(INDEX(Estimasi!$M$2:$M$1000,MATCH($C240,Estimasi!$L$2:$L$1000,0)),""))</f>
        <v/>
      </c>
      <c r="E240" s="32"/>
      <c r="F240" s="32" t="str">
        <f t="shared" si="4"/>
        <v/>
      </c>
      <c r="G240" s="11" t="str">
        <f t="shared" si="5"/>
        <v/>
      </c>
    </row>
    <row r="241" ht="15.75" customHeight="1">
      <c r="A241" s="52"/>
      <c r="B241" s="11"/>
      <c r="C241" s="11" t="str">
        <f t="array" ref="C241">IF($B241="","",IFERROR(INDEX(Estimasi!$I$2:$I$1000,MATCH($B241,Estimasi!$H$2:$H$1000,0)),""))</f>
        <v/>
      </c>
      <c r="D241" s="32" t="str">
        <f t="array" ref="D241">IF($C241="","",IFERROR(INDEX(Estimasi!$M$2:$M$1000,MATCH($C241,Estimasi!$L$2:$L$1000,0)),""))</f>
        <v/>
      </c>
      <c r="E241" s="32"/>
      <c r="F241" s="32" t="str">
        <f t="shared" si="4"/>
        <v/>
      </c>
      <c r="G241" s="11" t="str">
        <f t="shared" si="5"/>
        <v/>
      </c>
    </row>
    <row r="242" ht="15.75" customHeight="1">
      <c r="A242" s="52"/>
      <c r="B242" s="11"/>
      <c r="C242" s="11" t="str">
        <f t="array" ref="C242">IF($B242="","",IFERROR(INDEX(Estimasi!$I$2:$I$1000,MATCH($B242,Estimasi!$H$2:$H$1000,0)),""))</f>
        <v/>
      </c>
      <c r="D242" s="32" t="str">
        <f t="array" ref="D242">IF($C242="","",IFERROR(INDEX(Estimasi!$M$2:$M$1000,MATCH($C242,Estimasi!$L$2:$L$1000,0)),""))</f>
        <v/>
      </c>
      <c r="E242" s="32"/>
      <c r="F242" s="32" t="str">
        <f t="shared" si="4"/>
        <v/>
      </c>
      <c r="G242" s="11" t="str">
        <f t="shared" si="5"/>
        <v/>
      </c>
    </row>
    <row r="243" ht="15.75" customHeight="1">
      <c r="A243" s="52"/>
      <c r="B243" s="11"/>
      <c r="C243" s="11" t="str">
        <f t="array" ref="C243">IF($B243="","",IFERROR(INDEX(Estimasi!$I$2:$I$1000,MATCH($B243,Estimasi!$H$2:$H$1000,0)),""))</f>
        <v/>
      </c>
      <c r="D243" s="32" t="str">
        <f t="array" ref="D243">IF($C243="","",IFERROR(INDEX(Estimasi!$M$2:$M$1000,MATCH($C243,Estimasi!$L$2:$L$1000,0)),""))</f>
        <v/>
      </c>
      <c r="E243" s="32"/>
      <c r="F243" s="32" t="str">
        <f t="shared" si="4"/>
        <v/>
      </c>
      <c r="G243" s="11" t="str">
        <f t="shared" si="5"/>
        <v/>
      </c>
    </row>
    <row r="244" ht="15.75" customHeight="1">
      <c r="A244" s="52"/>
      <c r="B244" s="11"/>
      <c r="C244" s="11" t="str">
        <f t="array" ref="C244">IF($B244="","",IFERROR(INDEX(Estimasi!$I$2:$I$1000,MATCH($B244,Estimasi!$H$2:$H$1000,0)),""))</f>
        <v/>
      </c>
      <c r="D244" s="32" t="str">
        <f t="array" ref="D244">IF($C244="","",IFERROR(INDEX(Estimasi!$M$2:$M$1000,MATCH($C244,Estimasi!$L$2:$L$1000,0)),""))</f>
        <v/>
      </c>
      <c r="E244" s="32"/>
      <c r="F244" s="32" t="str">
        <f t="shared" si="4"/>
        <v/>
      </c>
      <c r="G244" s="11" t="str">
        <f t="shared" si="5"/>
        <v/>
      </c>
    </row>
    <row r="245" ht="15.75" customHeight="1">
      <c r="A245" s="52"/>
      <c r="B245" s="11"/>
      <c r="C245" s="11" t="str">
        <f t="array" ref="C245">IF($B245="","",IFERROR(INDEX(Estimasi!$I$2:$I$1000,MATCH($B245,Estimasi!$H$2:$H$1000,0)),""))</f>
        <v/>
      </c>
      <c r="D245" s="32" t="str">
        <f t="array" ref="D245">IF($C245="","",IFERROR(INDEX(Estimasi!$M$2:$M$1000,MATCH($C245,Estimasi!$L$2:$L$1000,0)),""))</f>
        <v/>
      </c>
      <c r="E245" s="32"/>
      <c r="F245" s="32" t="str">
        <f t="shared" si="4"/>
        <v/>
      </c>
      <c r="G245" s="11" t="str">
        <f t="shared" si="5"/>
        <v/>
      </c>
    </row>
    <row r="246" ht="15.75" customHeight="1">
      <c r="A246" s="52"/>
      <c r="B246" s="11"/>
      <c r="C246" s="11" t="str">
        <f t="array" ref="C246">IF($B246="","",IFERROR(INDEX(Estimasi!$I$2:$I$1000,MATCH($B246,Estimasi!$H$2:$H$1000,0)),""))</f>
        <v/>
      </c>
      <c r="D246" s="32" t="str">
        <f t="array" ref="D246">IF($C246="","",IFERROR(INDEX(Estimasi!$M$2:$M$1000,MATCH($C246,Estimasi!$L$2:$L$1000,0)),""))</f>
        <v/>
      </c>
      <c r="E246" s="32"/>
      <c r="F246" s="32" t="str">
        <f t="shared" si="4"/>
        <v/>
      </c>
      <c r="G246" s="11" t="str">
        <f t="shared" si="5"/>
        <v/>
      </c>
    </row>
    <row r="247" ht="15.75" customHeight="1">
      <c r="A247" s="52"/>
      <c r="B247" s="11"/>
      <c r="C247" s="11" t="str">
        <f t="array" ref="C247">IF($B247="","",IFERROR(INDEX(Estimasi!$I$2:$I$1000,MATCH($B247,Estimasi!$H$2:$H$1000,0)),""))</f>
        <v/>
      </c>
      <c r="D247" s="32" t="str">
        <f t="array" ref="D247">IF($C247="","",IFERROR(INDEX(Estimasi!$M$2:$M$1000,MATCH($C247,Estimasi!$L$2:$L$1000,0)),""))</f>
        <v/>
      </c>
      <c r="E247" s="32"/>
      <c r="F247" s="32" t="str">
        <f t="shared" si="4"/>
        <v/>
      </c>
      <c r="G247" s="11" t="str">
        <f t="shared" si="5"/>
        <v/>
      </c>
    </row>
    <row r="248" ht="15.75" customHeight="1">
      <c r="A248" s="52"/>
      <c r="B248" s="11"/>
      <c r="C248" s="11" t="str">
        <f t="array" ref="C248">IF($B248="","",IFERROR(INDEX(Estimasi!$I$2:$I$1000,MATCH($B248,Estimasi!$H$2:$H$1000,0)),""))</f>
        <v/>
      </c>
      <c r="D248" s="32" t="str">
        <f t="array" ref="D248">IF($C248="","",IFERROR(INDEX(Estimasi!$M$2:$M$1000,MATCH($C248,Estimasi!$L$2:$L$1000,0)),""))</f>
        <v/>
      </c>
      <c r="E248" s="32"/>
      <c r="F248" s="32" t="str">
        <f t="shared" si="4"/>
        <v/>
      </c>
      <c r="G248" s="11" t="str">
        <f t="shared" si="5"/>
        <v/>
      </c>
    </row>
    <row r="249" ht="15.75" customHeight="1">
      <c r="A249" s="52"/>
      <c r="B249" s="11"/>
      <c r="C249" s="11" t="str">
        <f t="array" ref="C249">IF($B249="","",IFERROR(INDEX(Estimasi!$I$2:$I$1000,MATCH($B249,Estimasi!$H$2:$H$1000,0)),""))</f>
        <v/>
      </c>
      <c r="D249" s="32" t="str">
        <f t="array" ref="D249">IF($C249="","",IFERROR(INDEX(Estimasi!$M$2:$M$1000,MATCH($C249,Estimasi!$L$2:$L$1000,0)),""))</f>
        <v/>
      </c>
      <c r="E249" s="32"/>
      <c r="F249" s="32" t="str">
        <f t="shared" si="4"/>
        <v/>
      </c>
      <c r="G249" s="11" t="str">
        <f t="shared" si="5"/>
        <v/>
      </c>
    </row>
    <row r="250" ht="15.75" customHeight="1">
      <c r="A250" s="52"/>
      <c r="B250" s="11"/>
      <c r="C250" s="11" t="str">
        <f t="array" ref="C250">IF($B250="","",IFERROR(INDEX(Estimasi!$I$2:$I$1000,MATCH($B250,Estimasi!$H$2:$H$1000,0)),""))</f>
        <v/>
      </c>
      <c r="D250" s="32" t="str">
        <f t="array" ref="D250">IF($C250="","",IFERROR(INDEX(Estimasi!$M$2:$M$1000,MATCH($C250,Estimasi!$L$2:$L$1000,0)),""))</f>
        <v/>
      </c>
      <c r="E250" s="32"/>
      <c r="F250" s="32" t="str">
        <f t="shared" si="4"/>
        <v/>
      </c>
      <c r="G250" s="11" t="str">
        <f t="shared" si="5"/>
        <v/>
      </c>
    </row>
    <row r="251" ht="15.75" customHeight="1">
      <c r="A251" s="52"/>
      <c r="B251" s="11"/>
      <c r="C251" s="11" t="str">
        <f t="array" ref="C251">IF($B251="","",IFERROR(INDEX(Estimasi!$I$2:$I$1000,MATCH($B251,Estimasi!$H$2:$H$1000,0)),""))</f>
        <v/>
      </c>
      <c r="D251" s="32" t="str">
        <f t="array" ref="D251">IF($C251="","",IFERROR(INDEX(Estimasi!$M$2:$M$1000,MATCH($C251,Estimasi!$L$2:$L$1000,0)),""))</f>
        <v/>
      </c>
      <c r="E251" s="32"/>
      <c r="F251" s="32" t="str">
        <f t="shared" si="4"/>
        <v/>
      </c>
      <c r="G251" s="11" t="str">
        <f t="shared" si="5"/>
        <v/>
      </c>
    </row>
    <row r="252" ht="15.75" customHeight="1">
      <c r="A252" s="52"/>
      <c r="B252" s="11"/>
      <c r="C252" s="11" t="str">
        <f t="array" ref="C252">IF($B252="","",IFERROR(INDEX(Estimasi!$I$2:$I$1000,MATCH($B252,Estimasi!$H$2:$H$1000,0)),""))</f>
        <v/>
      </c>
      <c r="D252" s="32" t="str">
        <f t="array" ref="D252">IF($C252="","",IFERROR(INDEX(Estimasi!$M$2:$M$1000,MATCH($C252,Estimasi!$L$2:$L$1000,0)),""))</f>
        <v/>
      </c>
      <c r="E252" s="32"/>
      <c r="F252" s="32" t="str">
        <f t="shared" si="4"/>
        <v/>
      </c>
      <c r="G252" s="11" t="str">
        <f t="shared" si="5"/>
        <v/>
      </c>
    </row>
    <row r="253" ht="15.75" customHeight="1">
      <c r="A253" s="52"/>
      <c r="B253" s="11"/>
      <c r="C253" s="11" t="str">
        <f t="array" ref="C253">IF($B253="","",IFERROR(INDEX(Estimasi!$I$2:$I$1000,MATCH($B253,Estimasi!$H$2:$H$1000,0)),""))</f>
        <v/>
      </c>
      <c r="D253" s="32" t="str">
        <f t="array" ref="D253">IF($C253="","",IFERROR(INDEX(Estimasi!$M$2:$M$1000,MATCH($C253,Estimasi!$L$2:$L$1000,0)),""))</f>
        <v/>
      </c>
      <c r="E253" s="32"/>
      <c r="F253" s="32" t="str">
        <f t="shared" si="4"/>
        <v/>
      </c>
      <c r="G253" s="11" t="str">
        <f t="shared" si="5"/>
        <v/>
      </c>
    </row>
    <row r="254" ht="15.75" customHeight="1">
      <c r="A254" s="52"/>
      <c r="B254" s="11"/>
      <c r="C254" s="11" t="str">
        <f t="array" ref="C254">IF($B254="","",IFERROR(INDEX(Estimasi!$I$2:$I$1000,MATCH($B254,Estimasi!$H$2:$H$1000,0)),""))</f>
        <v/>
      </c>
      <c r="D254" s="32" t="str">
        <f t="array" ref="D254">IF($C254="","",IFERROR(INDEX(Estimasi!$M$2:$M$1000,MATCH($C254,Estimasi!$L$2:$L$1000,0)),""))</f>
        <v/>
      </c>
      <c r="E254" s="32"/>
      <c r="F254" s="32" t="str">
        <f t="shared" si="4"/>
        <v/>
      </c>
      <c r="G254" s="11" t="str">
        <f t="shared" si="5"/>
        <v/>
      </c>
    </row>
    <row r="255" ht="15.75" customHeight="1">
      <c r="A255" s="52"/>
      <c r="B255" s="11"/>
      <c r="C255" s="11" t="str">
        <f t="array" ref="C255">IF($B255="","",IFERROR(INDEX(Estimasi!$I$2:$I$1000,MATCH($B255,Estimasi!$H$2:$H$1000,0)),""))</f>
        <v/>
      </c>
      <c r="D255" s="32" t="str">
        <f t="array" ref="D255">IF($C255="","",IFERROR(INDEX(Estimasi!$M$2:$M$1000,MATCH($C255,Estimasi!$L$2:$L$1000,0)),""))</f>
        <v/>
      </c>
      <c r="E255" s="32"/>
      <c r="F255" s="32" t="str">
        <f t="shared" si="4"/>
        <v/>
      </c>
      <c r="G255" s="11" t="str">
        <f t="shared" si="5"/>
        <v/>
      </c>
    </row>
    <row r="256" ht="15.75" customHeight="1">
      <c r="A256" s="52"/>
      <c r="B256" s="11"/>
      <c r="C256" s="11" t="str">
        <f t="array" ref="C256">IF($B256="","",IFERROR(INDEX(Estimasi!$I$2:$I$1000,MATCH($B256,Estimasi!$H$2:$H$1000,0)),""))</f>
        <v/>
      </c>
      <c r="D256" s="32" t="str">
        <f t="array" ref="D256">IF($C256="","",IFERROR(INDEX(Estimasi!$M$2:$M$1000,MATCH($C256,Estimasi!$L$2:$L$1000,0)),""))</f>
        <v/>
      </c>
      <c r="E256" s="32"/>
      <c r="F256" s="32" t="str">
        <f t="shared" si="4"/>
        <v/>
      </c>
      <c r="G256" s="11" t="str">
        <f t="shared" si="5"/>
        <v/>
      </c>
    </row>
    <row r="257" ht="15.75" customHeight="1">
      <c r="A257" s="52"/>
      <c r="B257" s="11"/>
      <c r="C257" s="11" t="str">
        <f t="array" ref="C257">IF($B257="","",IFERROR(INDEX(Estimasi!$I$2:$I$1000,MATCH($B257,Estimasi!$H$2:$H$1000,0)),""))</f>
        <v/>
      </c>
      <c r="D257" s="32" t="str">
        <f t="array" ref="D257">IF($C257="","",IFERROR(INDEX(Estimasi!$M$2:$M$1000,MATCH($C257,Estimasi!$L$2:$L$1000,0)),""))</f>
        <v/>
      </c>
      <c r="E257" s="32"/>
      <c r="F257" s="32" t="str">
        <f t="shared" si="4"/>
        <v/>
      </c>
      <c r="G257" s="11" t="str">
        <f t="shared" si="5"/>
        <v/>
      </c>
    </row>
    <row r="258" ht="15.75" customHeight="1">
      <c r="A258" s="52"/>
      <c r="B258" s="11"/>
      <c r="C258" s="11" t="str">
        <f t="array" ref="C258">IF($B258="","",IFERROR(INDEX(Estimasi!$I$2:$I$1000,MATCH($B258,Estimasi!$H$2:$H$1000,0)),""))</f>
        <v/>
      </c>
      <c r="D258" s="32" t="str">
        <f t="array" ref="D258">IF($C258="","",IFERROR(INDEX(Estimasi!$M$2:$M$1000,MATCH($C258,Estimasi!$L$2:$L$1000,0)),""))</f>
        <v/>
      </c>
      <c r="E258" s="32"/>
      <c r="F258" s="32" t="str">
        <f t="shared" si="4"/>
        <v/>
      </c>
      <c r="G258" s="11" t="str">
        <f t="shared" si="5"/>
        <v/>
      </c>
    </row>
    <row r="259" ht="15.75" customHeight="1">
      <c r="A259" s="52"/>
      <c r="B259" s="11"/>
      <c r="C259" s="11" t="str">
        <f t="array" ref="C259">IF($B259="","",IFERROR(INDEX(Estimasi!$I$2:$I$1000,MATCH($B259,Estimasi!$H$2:$H$1000,0)),""))</f>
        <v/>
      </c>
      <c r="D259" s="32" t="str">
        <f t="array" ref="D259">IF($C259="","",IFERROR(INDEX(Estimasi!$M$2:$M$1000,MATCH($C259,Estimasi!$L$2:$L$1000,0)),""))</f>
        <v/>
      </c>
      <c r="E259" s="32"/>
      <c r="F259" s="32" t="str">
        <f t="shared" si="4"/>
        <v/>
      </c>
      <c r="G259" s="11" t="str">
        <f t="shared" si="5"/>
        <v/>
      </c>
    </row>
    <row r="260" ht="15.75" customHeight="1">
      <c r="A260" s="52"/>
      <c r="B260" s="11"/>
      <c r="C260" s="11" t="str">
        <f t="array" ref="C260">IF($B260="","",IFERROR(INDEX(Estimasi!$I$2:$I$1000,MATCH($B260,Estimasi!$H$2:$H$1000,0)),""))</f>
        <v/>
      </c>
      <c r="D260" s="32" t="str">
        <f t="array" ref="D260">IF($C260="","",IFERROR(INDEX(Estimasi!$M$2:$M$1000,MATCH($C260,Estimasi!$L$2:$L$1000,0)),""))</f>
        <v/>
      </c>
      <c r="E260" s="32"/>
      <c r="F260" s="32" t="str">
        <f t="shared" si="4"/>
        <v/>
      </c>
      <c r="G260" s="11" t="str">
        <f t="shared" si="5"/>
        <v/>
      </c>
    </row>
    <row r="261" ht="15.75" customHeight="1">
      <c r="A261" s="52"/>
      <c r="B261" s="11"/>
      <c r="C261" s="11" t="str">
        <f t="array" ref="C261">IF($B261="","",IFERROR(INDEX(Estimasi!$I$2:$I$1000,MATCH($B261,Estimasi!$H$2:$H$1000,0)),""))</f>
        <v/>
      </c>
      <c r="D261" s="32" t="str">
        <f t="array" ref="D261">IF($C261="","",IFERROR(INDEX(Estimasi!$M$2:$M$1000,MATCH($C261,Estimasi!$L$2:$L$1000,0)),""))</f>
        <v/>
      </c>
      <c r="E261" s="32"/>
      <c r="F261" s="32" t="str">
        <f t="shared" si="4"/>
        <v/>
      </c>
      <c r="G261" s="11" t="str">
        <f t="shared" si="5"/>
        <v/>
      </c>
    </row>
    <row r="262" ht="15.75" customHeight="1">
      <c r="A262" s="52"/>
      <c r="B262" s="11"/>
      <c r="C262" s="11" t="str">
        <f t="array" ref="C262">IF($B262="","",IFERROR(INDEX(Estimasi!$I$2:$I$1000,MATCH($B262,Estimasi!$H$2:$H$1000,0)),""))</f>
        <v/>
      </c>
      <c r="D262" s="32" t="str">
        <f t="array" ref="D262">IF($C262="","",IFERROR(INDEX(Estimasi!$M$2:$M$1000,MATCH($C262,Estimasi!$L$2:$L$1000,0)),""))</f>
        <v/>
      </c>
      <c r="E262" s="32"/>
      <c r="F262" s="32" t="str">
        <f t="shared" si="4"/>
        <v/>
      </c>
      <c r="G262" s="11" t="str">
        <f t="shared" si="5"/>
        <v/>
      </c>
    </row>
    <row r="263" ht="15.75" customHeight="1">
      <c r="A263" s="52"/>
      <c r="B263" s="11"/>
      <c r="C263" s="11" t="str">
        <f t="array" ref="C263">IF($B263="","",IFERROR(INDEX(Estimasi!$I$2:$I$1000,MATCH($B263,Estimasi!$H$2:$H$1000,0)),""))</f>
        <v/>
      </c>
      <c r="D263" s="32" t="str">
        <f t="array" ref="D263">IF($C263="","",IFERROR(INDEX(Estimasi!$M$2:$M$1000,MATCH($C263,Estimasi!$L$2:$L$1000,0)),""))</f>
        <v/>
      </c>
      <c r="E263" s="32"/>
      <c r="F263" s="32" t="str">
        <f t="shared" si="4"/>
        <v/>
      </c>
      <c r="G263" s="11" t="str">
        <f t="shared" si="5"/>
        <v/>
      </c>
    </row>
    <row r="264" ht="15.75" customHeight="1">
      <c r="A264" s="52"/>
      <c r="B264" s="11"/>
      <c r="C264" s="11" t="str">
        <f t="array" ref="C264">IF($B264="","",IFERROR(INDEX(Estimasi!$I$2:$I$1000,MATCH($B264,Estimasi!$H$2:$H$1000,0)),""))</f>
        <v/>
      </c>
      <c r="D264" s="32" t="str">
        <f t="array" ref="D264">IF($C264="","",IFERROR(INDEX(Estimasi!$M$2:$M$1000,MATCH($C264,Estimasi!$L$2:$L$1000,0)),""))</f>
        <v/>
      </c>
      <c r="E264" s="32"/>
      <c r="F264" s="32" t="str">
        <f t="shared" si="4"/>
        <v/>
      </c>
      <c r="G264" s="11" t="str">
        <f t="shared" si="5"/>
        <v/>
      </c>
    </row>
    <row r="265" ht="15.75" customHeight="1">
      <c r="A265" s="52"/>
      <c r="B265" s="11"/>
      <c r="C265" s="11" t="str">
        <f t="array" ref="C265">IF($B265="","",IFERROR(INDEX(Estimasi!$I$2:$I$1000,MATCH($B265,Estimasi!$H$2:$H$1000,0)),""))</f>
        <v/>
      </c>
      <c r="D265" s="32" t="str">
        <f t="array" ref="D265">IF($C265="","",IFERROR(INDEX(Estimasi!$M$2:$M$1000,MATCH($C265,Estimasi!$L$2:$L$1000,0)),""))</f>
        <v/>
      </c>
      <c r="E265" s="32"/>
      <c r="F265" s="32" t="str">
        <f t="shared" si="4"/>
        <v/>
      </c>
      <c r="G265" s="11" t="str">
        <f t="shared" si="5"/>
        <v/>
      </c>
    </row>
    <row r="266" ht="15.75" customHeight="1">
      <c r="A266" s="52"/>
      <c r="B266" s="11"/>
      <c r="C266" s="11" t="str">
        <f t="array" ref="C266">IF($B266="","",IFERROR(INDEX(Estimasi!$I$2:$I$1000,MATCH($B266,Estimasi!$H$2:$H$1000,0)),""))</f>
        <v/>
      </c>
      <c r="D266" s="32" t="str">
        <f t="array" ref="D266">IF($C266="","",IFERROR(INDEX(Estimasi!$M$2:$M$1000,MATCH($C266,Estimasi!$L$2:$L$1000,0)),""))</f>
        <v/>
      </c>
      <c r="E266" s="32"/>
      <c r="F266" s="32" t="str">
        <f t="shared" si="4"/>
        <v/>
      </c>
      <c r="G266" s="11" t="str">
        <f t="shared" si="5"/>
        <v/>
      </c>
    </row>
    <row r="267" ht="15.75" customHeight="1">
      <c r="A267" s="52"/>
      <c r="B267" s="11"/>
      <c r="C267" s="11" t="str">
        <f t="array" ref="C267">IF($B267="","",IFERROR(INDEX(Estimasi!$I$2:$I$1000,MATCH($B267,Estimasi!$H$2:$H$1000,0)),""))</f>
        <v/>
      </c>
      <c r="D267" s="32" t="str">
        <f t="array" ref="D267">IF($C267="","",IFERROR(INDEX(Estimasi!$M$2:$M$1000,MATCH($C267,Estimasi!$L$2:$L$1000,0)),""))</f>
        <v/>
      </c>
      <c r="E267" s="32"/>
      <c r="F267" s="32" t="str">
        <f t="shared" si="4"/>
        <v/>
      </c>
      <c r="G267" s="11" t="str">
        <f t="shared" si="5"/>
        <v/>
      </c>
    </row>
    <row r="268" ht="15.75" customHeight="1">
      <c r="A268" s="52"/>
      <c r="B268" s="11"/>
      <c r="C268" s="11" t="str">
        <f t="array" ref="C268">IF($B268="","",IFERROR(INDEX(Estimasi!$I$2:$I$1000,MATCH($B268,Estimasi!$H$2:$H$1000,0)),""))</f>
        <v/>
      </c>
      <c r="D268" s="32" t="str">
        <f t="array" ref="D268">IF($C268="","",IFERROR(INDEX(Estimasi!$M$2:$M$1000,MATCH($C268,Estimasi!$L$2:$L$1000,0)),""))</f>
        <v/>
      </c>
      <c r="E268" s="32"/>
      <c r="F268" s="32" t="str">
        <f t="shared" si="4"/>
        <v/>
      </c>
      <c r="G268" s="11" t="str">
        <f t="shared" si="5"/>
        <v/>
      </c>
    </row>
    <row r="269" ht="15.75" customHeight="1">
      <c r="A269" s="52"/>
      <c r="B269" s="11"/>
      <c r="C269" s="11" t="str">
        <f t="array" ref="C269">IF($B269="","",IFERROR(INDEX(Estimasi!$I$2:$I$1000,MATCH($B269,Estimasi!$H$2:$H$1000,0)),""))</f>
        <v/>
      </c>
      <c r="D269" s="32" t="str">
        <f t="array" ref="D269">IF($C269="","",IFERROR(INDEX(Estimasi!$M$2:$M$1000,MATCH($C269,Estimasi!$L$2:$L$1000,0)),""))</f>
        <v/>
      </c>
      <c r="E269" s="32"/>
      <c r="F269" s="32" t="str">
        <f t="shared" si="4"/>
        <v/>
      </c>
      <c r="G269" s="11" t="str">
        <f t="shared" si="5"/>
        <v/>
      </c>
    </row>
    <row r="270" ht="15.75" customHeight="1">
      <c r="A270" s="52"/>
      <c r="B270" s="11"/>
      <c r="C270" s="11" t="str">
        <f t="array" ref="C270">IF($B270="","",IFERROR(INDEX(Estimasi!$I$2:$I$1000,MATCH($B270,Estimasi!$H$2:$H$1000,0)),""))</f>
        <v/>
      </c>
      <c r="D270" s="32" t="str">
        <f t="array" ref="D270">IF($C270="","",IFERROR(INDEX(Estimasi!$M$2:$M$1000,MATCH($C270,Estimasi!$L$2:$L$1000,0)),""))</f>
        <v/>
      </c>
      <c r="E270" s="32"/>
      <c r="F270" s="32" t="str">
        <f t="shared" si="4"/>
        <v/>
      </c>
      <c r="G270" s="11" t="str">
        <f t="shared" si="5"/>
        <v/>
      </c>
    </row>
    <row r="271" ht="15.75" customHeight="1">
      <c r="A271" s="52"/>
      <c r="B271" s="11"/>
      <c r="C271" s="11" t="str">
        <f t="array" ref="C271">IF($B271="","",IFERROR(INDEX(Estimasi!$I$2:$I$1000,MATCH($B271,Estimasi!$H$2:$H$1000,0)),""))</f>
        <v/>
      </c>
      <c r="D271" s="32" t="str">
        <f t="array" ref="D271">IF($C271="","",IFERROR(INDEX(Estimasi!$M$2:$M$1000,MATCH($C271,Estimasi!$L$2:$L$1000,0)),""))</f>
        <v/>
      </c>
      <c r="E271" s="32"/>
      <c r="F271" s="32" t="str">
        <f t="shared" si="4"/>
        <v/>
      </c>
      <c r="G271" s="11" t="str">
        <f t="shared" si="5"/>
        <v/>
      </c>
    </row>
    <row r="272" ht="15.75" customHeight="1">
      <c r="A272" s="52"/>
      <c r="B272" s="11"/>
      <c r="C272" s="11" t="str">
        <f t="array" ref="C272">IF($B272="","",IFERROR(INDEX(Estimasi!$I$2:$I$1000,MATCH($B272,Estimasi!$H$2:$H$1000,0)),""))</f>
        <v/>
      </c>
      <c r="D272" s="32" t="str">
        <f t="array" ref="D272">IF($C272="","",IFERROR(INDEX(Estimasi!$M$2:$M$1000,MATCH($C272,Estimasi!$L$2:$L$1000,0)),""))</f>
        <v/>
      </c>
      <c r="E272" s="32"/>
      <c r="F272" s="32" t="str">
        <f t="shared" si="4"/>
        <v/>
      </c>
      <c r="G272" s="11" t="str">
        <f t="shared" si="5"/>
        <v/>
      </c>
    </row>
    <row r="273" ht="15.75" customHeight="1">
      <c r="A273" s="52"/>
      <c r="B273" s="11"/>
      <c r="C273" s="11" t="str">
        <f t="array" ref="C273">IF($B273="","",IFERROR(INDEX(Estimasi!$I$2:$I$1000,MATCH($B273,Estimasi!$H$2:$H$1000,0)),""))</f>
        <v/>
      </c>
      <c r="D273" s="32" t="str">
        <f t="array" ref="D273">IF($C273="","",IFERROR(INDEX(Estimasi!$M$2:$M$1000,MATCH($C273,Estimasi!$L$2:$L$1000,0)),""))</f>
        <v/>
      </c>
      <c r="E273" s="32"/>
      <c r="F273" s="32" t="str">
        <f t="shared" si="4"/>
        <v/>
      </c>
      <c r="G273" s="11" t="str">
        <f t="shared" si="5"/>
        <v/>
      </c>
    </row>
    <row r="274" ht="15.75" customHeight="1">
      <c r="A274" s="52"/>
      <c r="B274" s="11"/>
      <c r="C274" s="11" t="str">
        <f t="array" ref="C274">IF($B274="","",IFERROR(INDEX(Estimasi!$I$2:$I$1000,MATCH($B274,Estimasi!$H$2:$H$1000,0)),""))</f>
        <v/>
      </c>
      <c r="D274" s="32" t="str">
        <f t="array" ref="D274">IF($C274="","",IFERROR(INDEX(Estimasi!$M$2:$M$1000,MATCH($C274,Estimasi!$L$2:$L$1000,0)),""))</f>
        <v/>
      </c>
      <c r="E274" s="32"/>
      <c r="F274" s="32" t="str">
        <f t="shared" si="4"/>
        <v/>
      </c>
      <c r="G274" s="11" t="str">
        <f t="shared" si="5"/>
        <v/>
      </c>
    </row>
    <row r="275" ht="15.75" customHeight="1">
      <c r="A275" s="52"/>
      <c r="B275" s="11"/>
      <c r="C275" s="11" t="str">
        <f t="array" ref="C275">IF($B275="","",IFERROR(INDEX(Estimasi!$I$2:$I$1000,MATCH($B275,Estimasi!$H$2:$H$1000,0)),""))</f>
        <v/>
      </c>
      <c r="D275" s="32" t="str">
        <f t="array" ref="D275">IF($C275="","",IFERROR(INDEX(Estimasi!$M$2:$M$1000,MATCH($C275,Estimasi!$L$2:$L$1000,0)),""))</f>
        <v/>
      </c>
      <c r="E275" s="32"/>
      <c r="F275" s="32" t="str">
        <f t="shared" si="4"/>
        <v/>
      </c>
      <c r="G275" s="11" t="str">
        <f t="shared" si="5"/>
        <v/>
      </c>
    </row>
    <row r="276" ht="15.75" customHeight="1">
      <c r="A276" s="52"/>
      <c r="B276" s="11"/>
      <c r="C276" s="11" t="str">
        <f t="array" ref="C276">IF($B276="","",IFERROR(INDEX(Estimasi!$I$2:$I$1000,MATCH($B276,Estimasi!$H$2:$H$1000,0)),""))</f>
        <v/>
      </c>
      <c r="D276" s="32" t="str">
        <f t="array" ref="D276">IF($C276="","",IFERROR(INDEX(Estimasi!$M$2:$M$1000,MATCH($C276,Estimasi!$L$2:$L$1000,0)),""))</f>
        <v/>
      </c>
      <c r="E276" s="32"/>
      <c r="F276" s="32" t="str">
        <f t="shared" si="4"/>
        <v/>
      </c>
      <c r="G276" s="11" t="str">
        <f t="shared" si="5"/>
        <v/>
      </c>
    </row>
    <row r="277" ht="15.75" customHeight="1">
      <c r="A277" s="52"/>
      <c r="B277" s="11"/>
      <c r="C277" s="11" t="str">
        <f t="array" ref="C277">IF($B277="","",IFERROR(INDEX(Estimasi!$I$2:$I$1000,MATCH($B277,Estimasi!$H$2:$H$1000,0)),""))</f>
        <v/>
      </c>
      <c r="D277" s="32" t="str">
        <f t="array" ref="D277">IF($C277="","",IFERROR(INDEX(Estimasi!$M$2:$M$1000,MATCH($C277,Estimasi!$L$2:$L$1000,0)),""))</f>
        <v/>
      </c>
      <c r="E277" s="32"/>
      <c r="F277" s="32" t="str">
        <f t="shared" si="4"/>
        <v/>
      </c>
      <c r="G277" s="11" t="str">
        <f t="shared" si="5"/>
        <v/>
      </c>
    </row>
    <row r="278" ht="15.75" customHeight="1">
      <c r="A278" s="52"/>
      <c r="B278" s="11"/>
      <c r="C278" s="11" t="str">
        <f t="array" ref="C278">IF($B278="","",IFERROR(INDEX(Estimasi!$I$2:$I$1000,MATCH($B278,Estimasi!$H$2:$H$1000,0)),""))</f>
        <v/>
      </c>
      <c r="D278" s="32" t="str">
        <f t="array" ref="D278">IF($C278="","",IFERROR(INDEX(Estimasi!$M$2:$M$1000,MATCH($C278,Estimasi!$L$2:$L$1000,0)),""))</f>
        <v/>
      </c>
      <c r="E278" s="32"/>
      <c r="F278" s="32" t="str">
        <f t="shared" si="4"/>
        <v/>
      </c>
      <c r="G278" s="11" t="str">
        <f t="shared" si="5"/>
        <v/>
      </c>
    </row>
    <row r="279" ht="15.75" customHeight="1">
      <c r="A279" s="52"/>
      <c r="B279" s="11"/>
      <c r="C279" s="11" t="str">
        <f t="array" ref="C279">IF($B279="","",IFERROR(INDEX(Estimasi!$I$2:$I$1000,MATCH($B279,Estimasi!$H$2:$H$1000,0)),""))</f>
        <v/>
      </c>
      <c r="D279" s="32" t="str">
        <f t="array" ref="D279">IF($C279="","",IFERROR(INDEX(Estimasi!$M$2:$M$1000,MATCH($C279,Estimasi!$L$2:$L$1000,0)),""))</f>
        <v/>
      </c>
      <c r="E279" s="32"/>
      <c r="F279" s="32" t="str">
        <f t="shared" si="4"/>
        <v/>
      </c>
      <c r="G279" s="11" t="str">
        <f t="shared" si="5"/>
        <v/>
      </c>
    </row>
    <row r="280" ht="15.75" customHeight="1">
      <c r="A280" s="52"/>
      <c r="B280" s="11"/>
      <c r="C280" s="11" t="str">
        <f t="array" ref="C280">IF($B280="","",IFERROR(INDEX(Estimasi!$I$2:$I$1000,MATCH($B280,Estimasi!$H$2:$H$1000,0)),""))</f>
        <v/>
      </c>
      <c r="D280" s="32" t="str">
        <f t="array" ref="D280">IF($C280="","",IFERROR(INDEX(Estimasi!$M$2:$M$1000,MATCH($C280,Estimasi!$L$2:$L$1000,0)),""))</f>
        <v/>
      </c>
      <c r="E280" s="32"/>
      <c r="F280" s="32" t="str">
        <f t="shared" si="4"/>
        <v/>
      </c>
      <c r="G280" s="11" t="str">
        <f t="shared" si="5"/>
        <v/>
      </c>
    </row>
    <row r="281" ht="15.75" customHeight="1">
      <c r="A281" s="52"/>
      <c r="B281" s="11"/>
      <c r="C281" s="11" t="str">
        <f t="array" ref="C281">IF($B281="","",IFERROR(INDEX(Estimasi!$I$2:$I$1000,MATCH($B281,Estimasi!$H$2:$H$1000,0)),""))</f>
        <v/>
      </c>
      <c r="D281" s="32" t="str">
        <f t="array" ref="D281">IF($C281="","",IFERROR(INDEX(Estimasi!$M$2:$M$1000,MATCH($C281,Estimasi!$L$2:$L$1000,0)),""))</f>
        <v/>
      </c>
      <c r="E281" s="32"/>
      <c r="F281" s="32" t="str">
        <f t="shared" si="4"/>
        <v/>
      </c>
      <c r="G281" s="11" t="str">
        <f t="shared" si="5"/>
        <v/>
      </c>
    </row>
    <row r="282" ht="15.75" customHeight="1">
      <c r="A282" s="52"/>
      <c r="B282" s="11"/>
      <c r="C282" s="11" t="str">
        <f t="array" ref="C282">IF($B282="","",IFERROR(INDEX(Estimasi!$I$2:$I$1000,MATCH($B282,Estimasi!$H$2:$H$1000,0)),""))</f>
        <v/>
      </c>
      <c r="D282" s="32" t="str">
        <f t="array" ref="D282">IF($C282="","",IFERROR(INDEX(Estimasi!$M$2:$M$1000,MATCH($C282,Estimasi!$L$2:$L$1000,0)),""))</f>
        <v/>
      </c>
      <c r="E282" s="32"/>
      <c r="F282" s="32" t="str">
        <f t="shared" si="4"/>
        <v/>
      </c>
      <c r="G282" s="11" t="str">
        <f t="shared" si="5"/>
        <v/>
      </c>
    </row>
    <row r="283" ht="15.75" customHeight="1">
      <c r="A283" s="52"/>
      <c r="B283" s="11"/>
      <c r="C283" s="11" t="str">
        <f t="array" ref="C283">IF($B283="","",IFERROR(INDEX(Estimasi!$I$2:$I$1000,MATCH($B283,Estimasi!$H$2:$H$1000,0)),""))</f>
        <v/>
      </c>
      <c r="D283" s="32" t="str">
        <f t="array" ref="D283">IF($C283="","",IFERROR(INDEX(Estimasi!$M$2:$M$1000,MATCH($C283,Estimasi!$L$2:$L$1000,0)),""))</f>
        <v/>
      </c>
      <c r="E283" s="32"/>
      <c r="F283" s="32" t="str">
        <f t="shared" si="4"/>
        <v/>
      </c>
      <c r="G283" s="11" t="str">
        <f t="shared" si="5"/>
        <v/>
      </c>
    </row>
    <row r="284" ht="15.75" customHeight="1">
      <c r="A284" s="52"/>
      <c r="B284" s="11"/>
      <c r="C284" s="11" t="str">
        <f t="array" ref="C284">IF($B284="","",IFERROR(INDEX(Estimasi!$I$2:$I$1000,MATCH($B284,Estimasi!$H$2:$H$1000,0)),""))</f>
        <v/>
      </c>
      <c r="D284" s="32" t="str">
        <f t="array" ref="D284">IF($C284="","",IFERROR(INDEX(Estimasi!$M$2:$M$1000,MATCH($C284,Estimasi!$L$2:$L$1000,0)),""))</f>
        <v/>
      </c>
      <c r="E284" s="32"/>
      <c r="F284" s="32" t="str">
        <f t="shared" si="4"/>
        <v/>
      </c>
      <c r="G284" s="11" t="str">
        <f t="shared" si="5"/>
        <v/>
      </c>
    </row>
    <row r="285" ht="15.75" customHeight="1">
      <c r="A285" s="52"/>
      <c r="B285" s="11"/>
      <c r="C285" s="11" t="str">
        <f t="array" ref="C285">IF($B285="","",IFERROR(INDEX(Estimasi!$I$2:$I$1000,MATCH($B285,Estimasi!$H$2:$H$1000,0)),""))</f>
        <v/>
      </c>
      <c r="D285" s="32" t="str">
        <f t="array" ref="D285">IF($C285="","",IFERROR(INDEX(Estimasi!$M$2:$M$1000,MATCH($C285,Estimasi!$L$2:$L$1000,0)),""))</f>
        <v/>
      </c>
      <c r="E285" s="32"/>
      <c r="F285" s="32" t="str">
        <f t="shared" si="4"/>
        <v/>
      </c>
      <c r="G285" s="11" t="str">
        <f t="shared" si="5"/>
        <v/>
      </c>
    </row>
    <row r="286" ht="15.75" customHeight="1">
      <c r="A286" s="52"/>
      <c r="B286" s="11"/>
      <c r="C286" s="11" t="str">
        <f t="array" ref="C286">IF($B286="","",IFERROR(INDEX(Estimasi!$I$2:$I$1000,MATCH($B286,Estimasi!$H$2:$H$1000,0)),""))</f>
        <v/>
      </c>
      <c r="D286" s="32" t="str">
        <f t="array" ref="D286">IF($C286="","",IFERROR(INDEX(Estimasi!$M$2:$M$1000,MATCH($C286,Estimasi!$L$2:$L$1000,0)),""))</f>
        <v/>
      </c>
      <c r="E286" s="32"/>
      <c r="F286" s="32" t="str">
        <f t="shared" si="4"/>
        <v/>
      </c>
      <c r="G286" s="11" t="str">
        <f t="shared" si="5"/>
        <v/>
      </c>
    </row>
    <row r="287" ht="15.75" customHeight="1">
      <c r="A287" s="52"/>
      <c r="B287" s="11"/>
      <c r="C287" s="11" t="str">
        <f t="array" ref="C287">IF($B287="","",IFERROR(INDEX(Estimasi!$I$2:$I$1000,MATCH($B287,Estimasi!$H$2:$H$1000,0)),""))</f>
        <v/>
      </c>
      <c r="D287" s="32" t="str">
        <f t="array" ref="D287">IF($C287="","",IFERROR(INDEX(Estimasi!$M$2:$M$1000,MATCH($C287,Estimasi!$L$2:$L$1000,0)),""))</f>
        <v/>
      </c>
      <c r="E287" s="32"/>
      <c r="F287" s="32" t="str">
        <f t="shared" si="4"/>
        <v/>
      </c>
      <c r="G287" s="11" t="str">
        <f t="shared" si="5"/>
        <v/>
      </c>
    </row>
    <row r="288" ht="15.75" customHeight="1">
      <c r="A288" s="52"/>
      <c r="B288" s="11"/>
      <c r="C288" s="11" t="str">
        <f t="array" ref="C288">IF($B288="","",IFERROR(INDEX(Estimasi!$I$2:$I$1000,MATCH($B288,Estimasi!$H$2:$H$1000,0)),""))</f>
        <v/>
      </c>
      <c r="D288" s="32" t="str">
        <f t="array" ref="D288">IF($C288="","",IFERROR(INDEX(Estimasi!$M$2:$M$1000,MATCH($C288,Estimasi!$L$2:$L$1000,0)),""))</f>
        <v/>
      </c>
      <c r="E288" s="32"/>
      <c r="F288" s="32" t="str">
        <f t="shared" si="4"/>
        <v/>
      </c>
      <c r="G288" s="11" t="str">
        <f t="shared" si="5"/>
        <v/>
      </c>
    </row>
    <row r="289" ht="15.75" customHeight="1">
      <c r="A289" s="52"/>
      <c r="B289" s="11"/>
      <c r="C289" s="11" t="str">
        <f t="array" ref="C289">IF($B289="","",IFERROR(INDEX(Estimasi!$I$2:$I$1000,MATCH($B289,Estimasi!$H$2:$H$1000,0)),""))</f>
        <v/>
      </c>
      <c r="D289" s="32" t="str">
        <f t="array" ref="D289">IF($C289="","",IFERROR(INDEX(Estimasi!$M$2:$M$1000,MATCH($C289,Estimasi!$L$2:$L$1000,0)),""))</f>
        <v/>
      </c>
      <c r="E289" s="32"/>
      <c r="F289" s="32" t="str">
        <f t="shared" si="4"/>
        <v/>
      </c>
      <c r="G289" s="11" t="str">
        <f t="shared" si="5"/>
        <v/>
      </c>
    </row>
    <row r="290" ht="15.75" customHeight="1">
      <c r="A290" s="52"/>
      <c r="B290" s="11"/>
      <c r="C290" s="11" t="str">
        <f t="array" ref="C290">IF($B290="","",IFERROR(INDEX(Estimasi!$I$2:$I$1000,MATCH($B290,Estimasi!$H$2:$H$1000,0)),""))</f>
        <v/>
      </c>
      <c r="D290" s="32" t="str">
        <f t="array" ref="D290">IF($C290="","",IFERROR(INDEX(Estimasi!$M$2:$M$1000,MATCH($C290,Estimasi!$L$2:$L$1000,0)),""))</f>
        <v/>
      </c>
      <c r="E290" s="32"/>
      <c r="F290" s="32" t="str">
        <f t="shared" si="4"/>
        <v/>
      </c>
      <c r="G290" s="11" t="str">
        <f t="shared" si="5"/>
        <v/>
      </c>
    </row>
    <row r="291" ht="15.75" customHeight="1">
      <c r="A291" s="52"/>
      <c r="B291" s="11"/>
      <c r="C291" s="11" t="str">
        <f t="array" ref="C291">IF($B291="","",IFERROR(INDEX(Estimasi!$I$2:$I$1000,MATCH($B291,Estimasi!$H$2:$H$1000,0)),""))</f>
        <v/>
      </c>
      <c r="D291" s="32" t="str">
        <f t="array" ref="D291">IF($C291="","",IFERROR(INDEX(Estimasi!$M$2:$M$1000,MATCH($C291,Estimasi!$L$2:$L$1000,0)),""))</f>
        <v/>
      </c>
      <c r="E291" s="32"/>
      <c r="F291" s="32" t="str">
        <f t="shared" si="4"/>
        <v/>
      </c>
      <c r="G291" s="11" t="str">
        <f t="shared" si="5"/>
        <v/>
      </c>
    </row>
    <row r="292" ht="15.75" customHeight="1">
      <c r="A292" s="52"/>
      <c r="B292" s="11"/>
      <c r="C292" s="11" t="str">
        <f t="array" ref="C292">IF($B292="","",IFERROR(INDEX(Estimasi!$I$2:$I$1000,MATCH($B292,Estimasi!$H$2:$H$1000,0)),""))</f>
        <v/>
      </c>
      <c r="D292" s="32" t="str">
        <f t="array" ref="D292">IF($C292="","",IFERROR(INDEX(Estimasi!$M$2:$M$1000,MATCH($C292,Estimasi!$L$2:$L$1000,0)),""))</f>
        <v/>
      </c>
      <c r="E292" s="32"/>
      <c r="F292" s="32" t="str">
        <f t="shared" si="4"/>
        <v/>
      </c>
      <c r="G292" s="11" t="str">
        <f t="shared" si="5"/>
        <v/>
      </c>
    </row>
    <row r="293" ht="15.75" customHeight="1">
      <c r="A293" s="52"/>
      <c r="B293" s="11"/>
      <c r="C293" s="11" t="str">
        <f t="array" ref="C293">IF($B293="","",IFERROR(INDEX(Estimasi!$I$2:$I$1000,MATCH($B293,Estimasi!$H$2:$H$1000,0)),""))</f>
        <v/>
      </c>
      <c r="D293" s="32" t="str">
        <f t="array" ref="D293">IF($C293="","",IFERROR(INDEX(Estimasi!$M$2:$M$1000,MATCH($C293,Estimasi!$L$2:$L$1000,0)),""))</f>
        <v/>
      </c>
      <c r="E293" s="32"/>
      <c r="F293" s="32" t="str">
        <f t="shared" si="4"/>
        <v/>
      </c>
      <c r="G293" s="11" t="str">
        <f t="shared" si="5"/>
        <v/>
      </c>
    </row>
    <row r="294" ht="15.75" customHeight="1">
      <c r="A294" s="52"/>
      <c r="B294" s="11"/>
      <c r="C294" s="11" t="str">
        <f t="array" ref="C294">IF($B294="","",IFERROR(INDEX(Estimasi!$I$2:$I$1000,MATCH($B294,Estimasi!$H$2:$H$1000,0)),""))</f>
        <v/>
      </c>
      <c r="D294" s="32" t="str">
        <f t="array" ref="D294">IF($C294="","",IFERROR(INDEX(Estimasi!$M$2:$M$1000,MATCH($C294,Estimasi!$L$2:$L$1000,0)),""))</f>
        <v/>
      </c>
      <c r="E294" s="32"/>
      <c r="F294" s="32" t="str">
        <f t="shared" si="4"/>
        <v/>
      </c>
      <c r="G294" s="11" t="str">
        <f t="shared" si="5"/>
        <v/>
      </c>
    </row>
    <row r="295" ht="15.75" customHeight="1">
      <c r="A295" s="52"/>
      <c r="B295" s="11"/>
      <c r="C295" s="11" t="str">
        <f t="array" ref="C295">IF($B295="","",IFERROR(INDEX(Estimasi!$I$2:$I$1000,MATCH($B295,Estimasi!$H$2:$H$1000,0)),""))</f>
        <v/>
      </c>
      <c r="D295" s="32" t="str">
        <f t="array" ref="D295">IF($C295="","",IFERROR(INDEX(Estimasi!$M$2:$M$1000,MATCH($C295,Estimasi!$L$2:$L$1000,0)),""))</f>
        <v/>
      </c>
      <c r="E295" s="32"/>
      <c r="F295" s="32" t="str">
        <f t="shared" si="4"/>
        <v/>
      </c>
      <c r="G295" s="11" t="str">
        <f t="shared" si="5"/>
        <v/>
      </c>
    </row>
    <row r="296" ht="15.75" customHeight="1">
      <c r="A296" s="52"/>
      <c r="B296" s="11"/>
      <c r="C296" s="11" t="str">
        <f t="array" ref="C296">IF($B296="","",IFERROR(INDEX(Estimasi!$I$2:$I$1000,MATCH($B296,Estimasi!$H$2:$H$1000,0)),""))</f>
        <v/>
      </c>
      <c r="D296" s="32" t="str">
        <f t="array" ref="D296">IF($C296="","",IFERROR(INDEX(Estimasi!$M$2:$M$1000,MATCH($C296,Estimasi!$L$2:$L$1000,0)),""))</f>
        <v/>
      </c>
      <c r="E296" s="32"/>
      <c r="F296" s="32" t="str">
        <f t="shared" si="4"/>
        <v/>
      </c>
      <c r="G296" s="11" t="str">
        <f t="shared" si="5"/>
        <v/>
      </c>
    </row>
    <row r="297" ht="15.75" customHeight="1">
      <c r="A297" s="52"/>
      <c r="B297" s="11"/>
      <c r="C297" s="11" t="str">
        <f t="array" ref="C297">IF($B297="","",IFERROR(INDEX(Estimasi!$I$2:$I$1000,MATCH($B297,Estimasi!$H$2:$H$1000,0)),""))</f>
        <v/>
      </c>
      <c r="D297" s="32" t="str">
        <f t="array" ref="D297">IF($C297="","",IFERROR(INDEX(Estimasi!$M$2:$M$1000,MATCH($C297,Estimasi!$L$2:$L$1000,0)),""))</f>
        <v/>
      </c>
      <c r="E297" s="32"/>
      <c r="F297" s="32" t="str">
        <f t="shared" si="4"/>
        <v/>
      </c>
      <c r="G297" s="11" t="str">
        <f t="shared" si="5"/>
        <v/>
      </c>
    </row>
    <row r="298" ht="15.75" customHeight="1">
      <c r="A298" s="52"/>
      <c r="B298" s="11"/>
      <c r="C298" s="11" t="str">
        <f t="array" ref="C298">IF($B298="","",IFERROR(INDEX(Estimasi!$I$2:$I$1000,MATCH($B298,Estimasi!$H$2:$H$1000,0)),""))</f>
        <v/>
      </c>
      <c r="D298" s="32" t="str">
        <f t="array" ref="D298">IF($C298="","",IFERROR(INDEX(Estimasi!$M$2:$M$1000,MATCH($C298,Estimasi!$L$2:$L$1000,0)),""))</f>
        <v/>
      </c>
      <c r="E298" s="32"/>
      <c r="F298" s="32" t="str">
        <f t="shared" si="4"/>
        <v/>
      </c>
      <c r="G298" s="11" t="str">
        <f t="shared" si="5"/>
        <v/>
      </c>
    </row>
    <row r="299" ht="15.75" customHeight="1">
      <c r="A299" s="52"/>
      <c r="B299" s="11"/>
      <c r="C299" s="11" t="str">
        <f t="array" ref="C299">IF($B299="","",IFERROR(INDEX(Estimasi!$I$2:$I$1000,MATCH($B299,Estimasi!$H$2:$H$1000,0)),""))</f>
        <v/>
      </c>
      <c r="D299" s="32" t="str">
        <f t="array" ref="D299">IF($C299="","",IFERROR(INDEX(Estimasi!$M$2:$M$1000,MATCH($C299,Estimasi!$L$2:$L$1000,0)),""))</f>
        <v/>
      </c>
      <c r="E299" s="32"/>
      <c r="F299" s="32" t="str">
        <f t="shared" si="4"/>
        <v/>
      </c>
      <c r="G299" s="11" t="str">
        <f t="shared" si="5"/>
        <v/>
      </c>
    </row>
    <row r="300" ht="15.75" customHeight="1">
      <c r="A300" s="52"/>
      <c r="B300" s="11"/>
      <c r="C300" s="11" t="str">
        <f t="array" ref="C300">IF($B300="","",IFERROR(INDEX(Estimasi!$I$2:$I$1000,MATCH($B300,Estimasi!$H$2:$H$1000,0)),""))</f>
        <v/>
      </c>
      <c r="D300" s="32" t="str">
        <f t="array" ref="D300">IF($C300="","",IFERROR(INDEX(Estimasi!$M$2:$M$1000,MATCH($C300,Estimasi!$L$2:$L$1000,0)),""))</f>
        <v/>
      </c>
      <c r="E300" s="32"/>
      <c r="F300" s="32" t="str">
        <f t="shared" si="4"/>
        <v/>
      </c>
      <c r="G300" s="11" t="str">
        <f t="shared" si="5"/>
        <v/>
      </c>
    </row>
    <row r="301" ht="15.75" customHeight="1">
      <c r="A301" s="52"/>
      <c r="B301" s="11"/>
      <c r="C301" s="11" t="str">
        <f t="array" ref="C301">IF($B301="","",IFERROR(INDEX(Estimasi!$I$2:$I$1000,MATCH($B301,Estimasi!$H$2:$H$1000,0)),""))</f>
        <v/>
      </c>
      <c r="D301" s="32" t="str">
        <f t="array" ref="D301">IF($C301="","",IFERROR(INDEX(Estimasi!$M$2:$M$1000,MATCH($C301,Estimasi!$L$2:$L$1000,0)),""))</f>
        <v/>
      </c>
      <c r="E301" s="32"/>
      <c r="F301" s="32" t="str">
        <f t="shared" si="4"/>
        <v/>
      </c>
      <c r="G301" s="11" t="str">
        <f t="shared" si="5"/>
        <v/>
      </c>
    </row>
    <row r="302" ht="15.75" customHeight="1">
      <c r="A302" s="52"/>
      <c r="B302" s="11"/>
      <c r="C302" s="11" t="str">
        <f t="array" ref="C302">IF($B302="","",IFERROR(INDEX(Estimasi!$I$2:$I$1000,MATCH($B302,Estimasi!$H$2:$H$1000,0)),""))</f>
        <v/>
      </c>
      <c r="D302" s="32" t="str">
        <f t="array" ref="D302">IF($C302="","",IFERROR(INDEX(Estimasi!$M$2:$M$1000,MATCH($C302,Estimasi!$L$2:$L$1000,0)),""))</f>
        <v/>
      </c>
      <c r="E302" s="32"/>
      <c r="F302" s="32" t="str">
        <f t="shared" si="4"/>
        <v/>
      </c>
      <c r="G302" s="11" t="str">
        <f t="shared" si="5"/>
        <v/>
      </c>
    </row>
    <row r="303" ht="15.75" customHeight="1">
      <c r="A303" s="52"/>
      <c r="B303" s="11"/>
      <c r="C303" s="11" t="str">
        <f t="array" ref="C303">IF($B303="","",IFERROR(INDEX(Estimasi!$I$2:$I$1000,MATCH($B303,Estimasi!$H$2:$H$1000,0)),""))</f>
        <v/>
      </c>
      <c r="D303" s="32" t="str">
        <f t="array" ref="D303">IF($C303="","",IFERROR(INDEX(Estimasi!$M$2:$M$1000,MATCH($C303,Estimasi!$L$2:$L$1000,0)),""))</f>
        <v/>
      </c>
      <c r="E303" s="32"/>
      <c r="F303" s="32" t="str">
        <f t="shared" si="4"/>
        <v/>
      </c>
      <c r="G303" s="11" t="str">
        <f t="shared" si="5"/>
        <v/>
      </c>
    </row>
    <row r="304" ht="15.75" customHeight="1">
      <c r="A304" s="52"/>
      <c r="B304" s="11"/>
      <c r="C304" s="11" t="str">
        <f t="array" ref="C304">IF($B304="","",IFERROR(INDEX(Estimasi!$I$2:$I$1000,MATCH($B304,Estimasi!$H$2:$H$1000,0)),""))</f>
        <v/>
      </c>
      <c r="D304" s="32" t="str">
        <f t="array" ref="D304">IF($C304="","",IFERROR(INDEX(Estimasi!$M$2:$M$1000,MATCH($C304,Estimasi!$L$2:$L$1000,0)),""))</f>
        <v/>
      </c>
      <c r="E304" s="32"/>
      <c r="F304" s="32" t="str">
        <f t="shared" si="4"/>
        <v/>
      </c>
      <c r="G304" s="11" t="str">
        <f t="shared" si="5"/>
        <v/>
      </c>
    </row>
    <row r="305" ht="15.75" customHeight="1">
      <c r="A305" s="52"/>
      <c r="B305" s="11"/>
      <c r="C305" s="11" t="str">
        <f t="array" ref="C305">IF($B305="","",IFERROR(INDEX(Estimasi!$I$2:$I$1000,MATCH($B305,Estimasi!$H$2:$H$1000,0)),""))</f>
        <v/>
      </c>
      <c r="D305" s="32" t="str">
        <f t="array" ref="D305">IF($C305="","",IFERROR(INDEX(Estimasi!$M$2:$M$1000,MATCH($C305,Estimasi!$L$2:$L$1000,0)),""))</f>
        <v/>
      </c>
      <c r="E305" s="32"/>
      <c r="F305" s="32" t="str">
        <f t="shared" si="4"/>
        <v/>
      </c>
      <c r="G305" s="11" t="str">
        <f t="shared" si="5"/>
        <v/>
      </c>
    </row>
    <row r="306" ht="15.75" customHeight="1">
      <c r="A306" s="52"/>
      <c r="B306" s="11"/>
      <c r="C306" s="11" t="str">
        <f t="array" ref="C306">IF($B306="","",IFERROR(INDEX(Estimasi!$I$2:$I$1000,MATCH($B306,Estimasi!$H$2:$H$1000,0)),""))</f>
        <v/>
      </c>
      <c r="D306" s="32" t="str">
        <f t="array" ref="D306">IF($C306="","",IFERROR(INDEX(Estimasi!$M$2:$M$1000,MATCH($C306,Estimasi!$L$2:$L$1000,0)),""))</f>
        <v/>
      </c>
      <c r="E306" s="32"/>
      <c r="F306" s="32" t="str">
        <f t="shared" si="4"/>
        <v/>
      </c>
      <c r="G306" s="11" t="str">
        <f t="shared" si="5"/>
        <v/>
      </c>
    </row>
    <row r="307" ht="15.75" customHeight="1">
      <c r="A307" s="52"/>
      <c r="B307" s="11"/>
      <c r="C307" s="11" t="str">
        <f t="array" ref="C307">IF($B307="","",IFERROR(INDEX(Estimasi!$I$2:$I$1000,MATCH($B307,Estimasi!$H$2:$H$1000,0)),""))</f>
        <v/>
      </c>
      <c r="D307" s="32" t="str">
        <f t="array" ref="D307">IF($C307="","",IFERROR(INDEX(Estimasi!$M$2:$M$1000,MATCH($C307,Estimasi!$L$2:$L$1000,0)),""))</f>
        <v/>
      </c>
      <c r="E307" s="32"/>
      <c r="F307" s="32" t="str">
        <f t="shared" si="4"/>
        <v/>
      </c>
      <c r="G307" s="11" t="str">
        <f t="shared" si="5"/>
        <v/>
      </c>
    </row>
    <row r="308" ht="15.75" customHeight="1">
      <c r="A308" s="52"/>
      <c r="B308" s="11"/>
      <c r="C308" s="11" t="str">
        <f t="array" ref="C308">IF($B308="","",IFERROR(INDEX(Estimasi!$I$2:$I$1000,MATCH($B308,Estimasi!$H$2:$H$1000,0)),""))</f>
        <v/>
      </c>
      <c r="D308" s="32" t="str">
        <f t="array" ref="D308">IF($C308="","",IFERROR(INDEX(Estimasi!$M$2:$M$1000,MATCH($C308,Estimasi!$L$2:$L$1000,0)),""))</f>
        <v/>
      </c>
      <c r="E308" s="32"/>
      <c r="F308" s="32" t="str">
        <f t="shared" si="4"/>
        <v/>
      </c>
      <c r="G308" s="11" t="str">
        <f t="shared" si="5"/>
        <v/>
      </c>
    </row>
    <row r="309" ht="15.75" customHeight="1">
      <c r="A309" s="52"/>
      <c r="B309" s="11"/>
      <c r="C309" s="11" t="str">
        <f t="array" ref="C309">IF($B309="","",IFERROR(INDEX(Estimasi!$I$2:$I$1000,MATCH($B309,Estimasi!$H$2:$H$1000,0)),""))</f>
        <v/>
      </c>
      <c r="D309" s="32" t="str">
        <f t="array" ref="D309">IF($C309="","",IFERROR(INDEX(Estimasi!$M$2:$M$1000,MATCH($C309,Estimasi!$L$2:$L$1000,0)),""))</f>
        <v/>
      </c>
      <c r="E309" s="32"/>
      <c r="F309" s="32" t="str">
        <f t="shared" si="4"/>
        <v/>
      </c>
      <c r="G309" s="11" t="str">
        <f t="shared" si="5"/>
        <v/>
      </c>
    </row>
    <row r="310" ht="15.75" customHeight="1">
      <c r="A310" s="52"/>
      <c r="B310" s="11"/>
      <c r="C310" s="11" t="str">
        <f t="array" ref="C310">IF($B310="","",IFERROR(INDEX(Estimasi!$I$2:$I$1000,MATCH($B310,Estimasi!$H$2:$H$1000,0)),""))</f>
        <v/>
      </c>
      <c r="D310" s="32" t="str">
        <f t="array" ref="D310">IF($C310="","",IFERROR(INDEX(Estimasi!$M$2:$M$1000,MATCH($C310,Estimasi!$L$2:$L$1000,0)),""))</f>
        <v/>
      </c>
      <c r="E310" s="32"/>
      <c r="F310" s="32" t="str">
        <f t="shared" si="4"/>
        <v/>
      </c>
      <c r="G310" s="11" t="str">
        <f t="shared" si="5"/>
        <v/>
      </c>
    </row>
    <row r="311" ht="15.75" customHeight="1">
      <c r="A311" s="52"/>
      <c r="B311" s="11"/>
      <c r="C311" s="11" t="str">
        <f t="array" ref="C311">IF($B311="","",IFERROR(INDEX(Estimasi!$I$2:$I$1000,MATCH($B311,Estimasi!$H$2:$H$1000,0)),""))</f>
        <v/>
      </c>
      <c r="D311" s="32" t="str">
        <f t="array" ref="D311">IF($C311="","",IFERROR(INDEX(Estimasi!$M$2:$M$1000,MATCH($C311,Estimasi!$L$2:$L$1000,0)),""))</f>
        <v/>
      </c>
      <c r="E311" s="32"/>
      <c r="F311" s="32" t="str">
        <f t="shared" si="4"/>
        <v/>
      </c>
      <c r="G311" s="11" t="str">
        <f t="shared" si="5"/>
        <v/>
      </c>
    </row>
    <row r="312" ht="15.75" customHeight="1">
      <c r="A312" s="52"/>
      <c r="B312" s="11"/>
      <c r="C312" s="11" t="str">
        <f t="array" ref="C312">IF($B312="","",IFERROR(INDEX(Estimasi!$I$2:$I$1000,MATCH($B312,Estimasi!$H$2:$H$1000,0)),""))</f>
        <v/>
      </c>
      <c r="D312" s="32" t="str">
        <f t="array" ref="D312">IF($C312="","",IFERROR(INDEX(Estimasi!$M$2:$M$1000,MATCH($C312,Estimasi!$L$2:$L$1000,0)),""))</f>
        <v/>
      </c>
      <c r="E312" s="32"/>
      <c r="F312" s="32" t="str">
        <f t="shared" si="4"/>
        <v/>
      </c>
      <c r="G312" s="11" t="str">
        <f t="shared" si="5"/>
        <v/>
      </c>
    </row>
    <row r="313" ht="15.75" customHeight="1">
      <c r="A313" s="52"/>
      <c r="B313" s="11"/>
      <c r="C313" s="11" t="str">
        <f t="array" ref="C313">IF($B313="","",IFERROR(INDEX(Estimasi!$I$2:$I$1000,MATCH($B313,Estimasi!$H$2:$H$1000,0)),""))</f>
        <v/>
      </c>
      <c r="D313" s="32" t="str">
        <f t="array" ref="D313">IF($C313="","",IFERROR(INDEX(Estimasi!$M$2:$M$1000,MATCH($C313,Estimasi!$L$2:$L$1000,0)),""))</f>
        <v/>
      </c>
      <c r="E313" s="32"/>
      <c r="F313" s="32" t="str">
        <f t="shared" si="4"/>
        <v/>
      </c>
      <c r="G313" s="11" t="str">
        <f t="shared" si="5"/>
        <v/>
      </c>
    </row>
    <row r="314" ht="15.75" customHeight="1">
      <c r="A314" s="52"/>
      <c r="B314" s="11"/>
      <c r="C314" s="11" t="str">
        <f t="array" ref="C314">IF($B314="","",IFERROR(INDEX(Estimasi!$I$2:$I$1000,MATCH($B314,Estimasi!$H$2:$H$1000,0)),""))</f>
        <v/>
      </c>
      <c r="D314" s="32" t="str">
        <f t="array" ref="D314">IF($C314="","",IFERROR(INDEX(Estimasi!$M$2:$M$1000,MATCH($C314,Estimasi!$L$2:$L$1000,0)),""))</f>
        <v/>
      </c>
      <c r="E314" s="32"/>
      <c r="F314" s="32" t="str">
        <f t="shared" si="4"/>
        <v/>
      </c>
      <c r="G314" s="11" t="str">
        <f t="shared" si="5"/>
        <v/>
      </c>
    </row>
    <row r="315" ht="15.75" customHeight="1">
      <c r="A315" s="52"/>
      <c r="B315" s="11"/>
      <c r="C315" s="11" t="str">
        <f t="array" ref="C315">IF($B315="","",IFERROR(INDEX(Estimasi!$I$2:$I$1000,MATCH($B315,Estimasi!$H$2:$H$1000,0)),""))</f>
        <v/>
      </c>
      <c r="D315" s="32" t="str">
        <f t="array" ref="D315">IF($C315="","",IFERROR(INDEX(Estimasi!$M$2:$M$1000,MATCH($C315,Estimasi!$L$2:$L$1000,0)),""))</f>
        <v/>
      </c>
      <c r="E315" s="32"/>
      <c r="F315" s="32" t="str">
        <f t="shared" si="4"/>
        <v/>
      </c>
      <c r="G315" s="11" t="str">
        <f t="shared" si="5"/>
        <v/>
      </c>
    </row>
    <row r="316" ht="15.75" customHeight="1">
      <c r="A316" s="52"/>
      <c r="B316" s="11"/>
      <c r="C316" s="11" t="str">
        <f t="array" ref="C316">IF($B316="","",IFERROR(INDEX(Estimasi!$I$2:$I$1000,MATCH($B316,Estimasi!$H$2:$H$1000,0)),""))</f>
        <v/>
      </c>
      <c r="D316" s="32" t="str">
        <f t="array" ref="D316">IF($C316="","",IFERROR(INDEX(Estimasi!$M$2:$M$1000,MATCH($C316,Estimasi!$L$2:$L$1000,0)),""))</f>
        <v/>
      </c>
      <c r="E316" s="32"/>
      <c r="F316" s="32" t="str">
        <f t="shared" si="4"/>
        <v/>
      </c>
      <c r="G316" s="11" t="str">
        <f t="shared" si="5"/>
        <v/>
      </c>
    </row>
    <row r="317" ht="15.75" customHeight="1">
      <c r="A317" s="52"/>
      <c r="B317" s="11"/>
      <c r="C317" s="11" t="str">
        <f t="array" ref="C317">IF($B317="","",IFERROR(INDEX(Estimasi!$I$2:$I$1000,MATCH($B317,Estimasi!$H$2:$H$1000,0)),""))</f>
        <v/>
      </c>
      <c r="D317" s="32" t="str">
        <f t="array" ref="D317">IF($C317="","",IFERROR(INDEX(Estimasi!$M$2:$M$1000,MATCH($C317,Estimasi!$L$2:$L$1000,0)),""))</f>
        <v/>
      </c>
      <c r="E317" s="32"/>
      <c r="F317" s="32" t="str">
        <f t="shared" si="4"/>
        <v/>
      </c>
      <c r="G317" s="11" t="str">
        <f t="shared" si="5"/>
        <v/>
      </c>
    </row>
    <row r="318" ht="15.75" customHeight="1">
      <c r="A318" s="52"/>
      <c r="B318" s="11"/>
      <c r="C318" s="11" t="str">
        <f t="array" ref="C318">IF($B318="","",IFERROR(INDEX(Estimasi!$I$2:$I$1000,MATCH($B318,Estimasi!$H$2:$H$1000,0)),""))</f>
        <v/>
      </c>
      <c r="D318" s="32" t="str">
        <f t="array" ref="D318">IF($C318="","",IFERROR(INDEX(Estimasi!$M$2:$M$1000,MATCH($C318,Estimasi!$L$2:$L$1000,0)),""))</f>
        <v/>
      </c>
      <c r="E318" s="32"/>
      <c r="F318" s="32" t="str">
        <f t="shared" si="4"/>
        <v/>
      </c>
      <c r="G318" s="11" t="str">
        <f t="shared" si="5"/>
        <v/>
      </c>
    </row>
    <row r="319" ht="15.75" customHeight="1">
      <c r="A319" s="52"/>
      <c r="B319" s="11"/>
      <c r="C319" s="11" t="str">
        <f t="array" ref="C319">IF($B319="","",IFERROR(INDEX(Estimasi!$I$2:$I$1000,MATCH($B319,Estimasi!$H$2:$H$1000,0)),""))</f>
        <v/>
      </c>
      <c r="D319" s="32" t="str">
        <f t="array" ref="D319">IF($C319="","",IFERROR(INDEX(Estimasi!$M$2:$M$1000,MATCH($C319,Estimasi!$L$2:$L$1000,0)),""))</f>
        <v/>
      </c>
      <c r="E319" s="32"/>
      <c r="F319" s="32" t="str">
        <f t="shared" si="4"/>
        <v/>
      </c>
      <c r="G319" s="11" t="str">
        <f t="shared" si="5"/>
        <v/>
      </c>
    </row>
    <row r="320" ht="15.75" customHeight="1">
      <c r="A320" s="52"/>
      <c r="B320" s="11"/>
      <c r="C320" s="11" t="str">
        <f t="array" ref="C320">IF($B320="","",IFERROR(INDEX(Estimasi!$I$2:$I$1000,MATCH($B320,Estimasi!$H$2:$H$1000,0)),""))</f>
        <v/>
      </c>
      <c r="D320" s="32" t="str">
        <f t="array" ref="D320">IF($C320="","",IFERROR(INDEX(Estimasi!$M$2:$M$1000,MATCH($C320,Estimasi!$L$2:$L$1000,0)),""))</f>
        <v/>
      </c>
      <c r="E320" s="32"/>
      <c r="F320" s="32" t="str">
        <f t="shared" si="4"/>
        <v/>
      </c>
      <c r="G320" s="11" t="str">
        <f t="shared" si="5"/>
        <v/>
      </c>
    </row>
    <row r="321" ht="15.75" customHeight="1">
      <c r="A321" s="52"/>
      <c r="B321" s="11"/>
      <c r="C321" s="11" t="str">
        <f t="array" ref="C321">IF($B321="","",IFERROR(INDEX(Estimasi!$I$2:$I$1000,MATCH($B321,Estimasi!$H$2:$H$1000,0)),""))</f>
        <v/>
      </c>
      <c r="D321" s="32" t="str">
        <f t="array" ref="D321">IF($C321="","",IFERROR(INDEX(Estimasi!$M$2:$M$1000,MATCH($C321,Estimasi!$L$2:$L$1000,0)),""))</f>
        <v/>
      </c>
      <c r="E321" s="32"/>
      <c r="F321" s="32" t="str">
        <f t="shared" si="4"/>
        <v/>
      </c>
      <c r="G321" s="11" t="str">
        <f t="shared" si="5"/>
        <v/>
      </c>
    </row>
    <row r="322" ht="15.75" customHeight="1">
      <c r="A322" s="52"/>
      <c r="B322" s="11"/>
      <c r="C322" s="11" t="str">
        <f t="array" ref="C322">IF($B322="","",IFERROR(INDEX(Estimasi!$I$2:$I$1000,MATCH($B322,Estimasi!$H$2:$H$1000,0)),""))</f>
        <v/>
      </c>
      <c r="D322" s="32" t="str">
        <f t="array" ref="D322">IF($C322="","",IFERROR(INDEX(Estimasi!$M$2:$M$1000,MATCH($C322,Estimasi!$L$2:$L$1000,0)),""))</f>
        <v/>
      </c>
      <c r="E322" s="32"/>
      <c r="F322" s="32" t="str">
        <f t="shared" si="4"/>
        <v/>
      </c>
      <c r="G322" s="11" t="str">
        <f t="shared" si="5"/>
        <v/>
      </c>
    </row>
    <row r="323" ht="15.75" customHeight="1">
      <c r="A323" s="52"/>
      <c r="B323" s="11"/>
      <c r="C323" s="11" t="str">
        <f t="array" ref="C323">IF($B323="","",IFERROR(INDEX(Estimasi!$I$2:$I$1000,MATCH($B323,Estimasi!$H$2:$H$1000,0)),""))</f>
        <v/>
      </c>
      <c r="D323" s="32" t="str">
        <f t="array" ref="D323">IF($C323="","",IFERROR(INDEX(Estimasi!$M$2:$M$1000,MATCH($C323,Estimasi!$L$2:$L$1000,0)),""))</f>
        <v/>
      </c>
      <c r="E323" s="32"/>
      <c r="F323" s="32" t="str">
        <f t="shared" si="4"/>
        <v/>
      </c>
      <c r="G323" s="11" t="str">
        <f t="shared" si="5"/>
        <v/>
      </c>
    </row>
    <row r="324" ht="15.75" customHeight="1">
      <c r="A324" s="52"/>
      <c r="B324" s="11"/>
      <c r="C324" s="11" t="str">
        <f t="array" ref="C324">IF($B324="","",IFERROR(INDEX(Estimasi!$I$2:$I$1000,MATCH($B324,Estimasi!$H$2:$H$1000,0)),""))</f>
        <v/>
      </c>
      <c r="D324" s="32" t="str">
        <f t="array" ref="D324">IF($C324="","",IFERROR(INDEX(Estimasi!$M$2:$M$1000,MATCH($C324,Estimasi!$L$2:$L$1000,0)),""))</f>
        <v/>
      </c>
      <c r="E324" s="32"/>
      <c r="F324" s="32" t="str">
        <f t="shared" si="4"/>
        <v/>
      </c>
      <c r="G324" s="11" t="str">
        <f t="shared" si="5"/>
        <v/>
      </c>
    </row>
    <row r="325" ht="15.75" customHeight="1">
      <c r="A325" s="52"/>
      <c r="B325" s="11"/>
      <c r="C325" s="11" t="str">
        <f t="array" ref="C325">IF($B325="","",IFERROR(INDEX(Estimasi!$I$2:$I$1000,MATCH($B325,Estimasi!$H$2:$H$1000,0)),""))</f>
        <v/>
      </c>
      <c r="D325" s="32" t="str">
        <f t="array" ref="D325">IF($C325="","",IFERROR(INDEX(Estimasi!$M$2:$M$1000,MATCH($C325,Estimasi!$L$2:$L$1000,0)),""))</f>
        <v/>
      </c>
      <c r="E325" s="32"/>
      <c r="F325" s="32" t="str">
        <f t="shared" si="4"/>
        <v/>
      </c>
      <c r="G325" s="11" t="str">
        <f t="shared" si="5"/>
        <v/>
      </c>
    </row>
    <row r="326" ht="15.75" customHeight="1">
      <c r="A326" s="52"/>
      <c r="B326" s="11"/>
      <c r="C326" s="11" t="str">
        <f t="array" ref="C326">IF($B326="","",IFERROR(INDEX(Estimasi!$I$2:$I$1000,MATCH($B326,Estimasi!$H$2:$H$1000,0)),""))</f>
        <v/>
      </c>
      <c r="D326" s="32" t="str">
        <f t="array" ref="D326">IF($C326="","",IFERROR(INDEX(Estimasi!$M$2:$M$1000,MATCH($C326,Estimasi!$L$2:$L$1000,0)),""))</f>
        <v/>
      </c>
      <c r="E326" s="32"/>
      <c r="F326" s="32" t="str">
        <f t="shared" si="4"/>
        <v/>
      </c>
      <c r="G326" s="11" t="str">
        <f t="shared" si="5"/>
        <v/>
      </c>
    </row>
    <row r="327" ht="15.75" customHeight="1">
      <c r="A327" s="52"/>
      <c r="B327" s="11"/>
      <c r="C327" s="11" t="str">
        <f t="array" ref="C327">IF($B327="","",IFERROR(INDEX(Estimasi!$I$2:$I$1000,MATCH($B327,Estimasi!$H$2:$H$1000,0)),""))</f>
        <v/>
      </c>
      <c r="D327" s="32" t="str">
        <f t="array" ref="D327">IF($C327="","",IFERROR(INDEX(Estimasi!$M$2:$M$1000,MATCH($C327,Estimasi!$L$2:$L$1000,0)),""))</f>
        <v/>
      </c>
      <c r="E327" s="32"/>
      <c r="F327" s="32" t="str">
        <f t="shared" si="4"/>
        <v/>
      </c>
      <c r="G327" s="11" t="str">
        <f t="shared" si="5"/>
        <v/>
      </c>
    </row>
    <row r="328" ht="15.75" customHeight="1">
      <c r="A328" s="52"/>
      <c r="B328" s="11"/>
      <c r="C328" s="11" t="str">
        <f t="array" ref="C328">IF($B328="","",IFERROR(INDEX(Estimasi!$I$2:$I$1000,MATCH($B328,Estimasi!$H$2:$H$1000,0)),""))</f>
        <v/>
      </c>
      <c r="D328" s="32" t="str">
        <f t="array" ref="D328">IF($C328="","",IFERROR(INDEX(Estimasi!$M$2:$M$1000,MATCH($C328,Estimasi!$L$2:$L$1000,0)),""))</f>
        <v/>
      </c>
      <c r="E328" s="32"/>
      <c r="F328" s="32" t="str">
        <f t="shared" si="4"/>
        <v/>
      </c>
      <c r="G328" s="11" t="str">
        <f t="shared" si="5"/>
        <v/>
      </c>
    </row>
    <row r="329" ht="15.75" customHeight="1">
      <c r="A329" s="52"/>
      <c r="B329" s="11"/>
      <c r="C329" s="11" t="str">
        <f t="array" ref="C329">IF($B329="","",IFERROR(INDEX(Estimasi!$I$2:$I$1000,MATCH($B329,Estimasi!$H$2:$H$1000,0)),""))</f>
        <v/>
      </c>
      <c r="D329" s="32" t="str">
        <f t="array" ref="D329">IF($C329="","",IFERROR(INDEX(Estimasi!$M$2:$M$1000,MATCH($C329,Estimasi!$L$2:$L$1000,0)),""))</f>
        <v/>
      </c>
      <c r="E329" s="32"/>
      <c r="F329" s="32" t="str">
        <f t="shared" si="4"/>
        <v/>
      </c>
      <c r="G329" s="11" t="str">
        <f t="shared" si="5"/>
        <v/>
      </c>
    </row>
    <row r="330" ht="15.75" customHeight="1">
      <c r="A330" s="52"/>
      <c r="B330" s="11"/>
      <c r="C330" s="11" t="str">
        <f t="array" ref="C330">IF($B330="","",IFERROR(INDEX(Estimasi!$I$2:$I$1000,MATCH($B330,Estimasi!$H$2:$H$1000,0)),""))</f>
        <v/>
      </c>
      <c r="D330" s="32" t="str">
        <f t="array" ref="D330">IF($C330="","",IFERROR(INDEX(Estimasi!$M$2:$M$1000,MATCH($C330,Estimasi!$L$2:$L$1000,0)),""))</f>
        <v/>
      </c>
      <c r="E330" s="32"/>
      <c r="F330" s="32" t="str">
        <f t="shared" si="4"/>
        <v/>
      </c>
      <c r="G330" s="11" t="str">
        <f t="shared" si="5"/>
        <v/>
      </c>
    </row>
    <row r="331" ht="15.75" customHeight="1">
      <c r="A331" s="52"/>
      <c r="B331" s="11"/>
      <c r="C331" s="11" t="str">
        <f t="array" ref="C331">IF($B331="","",IFERROR(INDEX(Estimasi!$I$2:$I$1000,MATCH($B331,Estimasi!$H$2:$H$1000,0)),""))</f>
        <v/>
      </c>
      <c r="D331" s="32" t="str">
        <f t="array" ref="D331">IF($C331="","",IFERROR(INDEX(Estimasi!$M$2:$M$1000,MATCH($C331,Estimasi!$L$2:$L$1000,0)),""))</f>
        <v/>
      </c>
      <c r="E331" s="32"/>
      <c r="F331" s="32" t="str">
        <f t="shared" si="4"/>
        <v/>
      </c>
      <c r="G331" s="11" t="str">
        <f t="shared" si="5"/>
        <v/>
      </c>
    </row>
    <row r="332" ht="15.75" customHeight="1">
      <c r="A332" s="52"/>
      <c r="B332" s="11"/>
      <c r="C332" s="11" t="str">
        <f t="array" ref="C332">IF($B332="","",IFERROR(INDEX(Estimasi!$I$2:$I$1000,MATCH($B332,Estimasi!$H$2:$H$1000,0)),""))</f>
        <v/>
      </c>
      <c r="D332" s="32" t="str">
        <f t="array" ref="D332">IF($C332="","",IFERROR(INDEX(Estimasi!$M$2:$M$1000,MATCH($C332,Estimasi!$L$2:$L$1000,0)),""))</f>
        <v/>
      </c>
      <c r="E332" s="32"/>
      <c r="F332" s="32" t="str">
        <f t="shared" si="4"/>
        <v/>
      </c>
      <c r="G332" s="11" t="str">
        <f t="shared" si="5"/>
        <v/>
      </c>
    </row>
    <row r="333" ht="15.75" customHeight="1">
      <c r="A333" s="52"/>
      <c r="B333" s="11"/>
      <c r="C333" s="11" t="str">
        <f t="array" ref="C333">IF($B333="","",IFERROR(INDEX(Estimasi!$I$2:$I$1000,MATCH($B333,Estimasi!$H$2:$H$1000,0)),""))</f>
        <v/>
      </c>
      <c r="D333" s="32" t="str">
        <f t="array" ref="D333">IF($C333="","",IFERROR(INDEX(Estimasi!$M$2:$M$1000,MATCH($C333,Estimasi!$L$2:$L$1000,0)),""))</f>
        <v/>
      </c>
      <c r="E333" s="32"/>
      <c r="F333" s="32" t="str">
        <f t="shared" si="4"/>
        <v/>
      </c>
      <c r="G333" s="11" t="str">
        <f t="shared" si="5"/>
        <v/>
      </c>
    </row>
    <row r="334" ht="15.75" customHeight="1">
      <c r="A334" s="52"/>
      <c r="B334" s="11"/>
      <c r="C334" s="11" t="str">
        <f t="array" ref="C334">IF($B334="","",IFERROR(INDEX(Estimasi!$I$2:$I$1000,MATCH($B334,Estimasi!$H$2:$H$1000,0)),""))</f>
        <v/>
      </c>
      <c r="D334" s="32" t="str">
        <f t="array" ref="D334">IF($C334="","",IFERROR(INDEX(Estimasi!$M$2:$M$1000,MATCH($C334,Estimasi!$L$2:$L$1000,0)),""))</f>
        <v/>
      </c>
      <c r="E334" s="32"/>
      <c r="F334" s="32" t="str">
        <f t="shared" si="4"/>
        <v/>
      </c>
      <c r="G334" s="11" t="str">
        <f t="shared" si="5"/>
        <v/>
      </c>
    </row>
    <row r="335" ht="15.75" customHeight="1">
      <c r="A335" s="52"/>
      <c r="B335" s="11"/>
      <c r="C335" s="11" t="str">
        <f t="array" ref="C335">IF($B335="","",IFERROR(INDEX(Estimasi!$I$2:$I$1000,MATCH($B335,Estimasi!$H$2:$H$1000,0)),""))</f>
        <v/>
      </c>
      <c r="D335" s="32" t="str">
        <f t="array" ref="D335">IF($C335="","",IFERROR(INDEX(Estimasi!$M$2:$M$1000,MATCH($C335,Estimasi!$L$2:$L$1000,0)),""))</f>
        <v/>
      </c>
      <c r="E335" s="32"/>
      <c r="F335" s="32" t="str">
        <f t="shared" si="4"/>
        <v/>
      </c>
      <c r="G335" s="11" t="str">
        <f t="shared" si="5"/>
        <v/>
      </c>
    </row>
    <row r="336" ht="15.75" customHeight="1">
      <c r="A336" s="52"/>
      <c r="B336" s="11"/>
      <c r="C336" s="11" t="str">
        <f t="array" ref="C336">IF($B336="","",IFERROR(INDEX(Estimasi!$I$2:$I$1000,MATCH($B336,Estimasi!$H$2:$H$1000,0)),""))</f>
        <v/>
      </c>
      <c r="D336" s="32" t="str">
        <f t="array" ref="D336">IF($C336="","",IFERROR(INDEX(Estimasi!$M$2:$M$1000,MATCH($C336,Estimasi!$L$2:$L$1000,0)),""))</f>
        <v/>
      </c>
      <c r="E336" s="32"/>
      <c r="F336" s="32" t="str">
        <f t="shared" si="4"/>
        <v/>
      </c>
      <c r="G336" s="11" t="str">
        <f t="shared" si="5"/>
        <v/>
      </c>
    </row>
    <row r="337" ht="15.75" customHeight="1">
      <c r="A337" s="52"/>
      <c r="B337" s="11"/>
      <c r="C337" s="11" t="str">
        <f t="array" ref="C337">IF($B337="","",IFERROR(INDEX(Estimasi!$I$2:$I$1000,MATCH($B337,Estimasi!$H$2:$H$1000,0)),""))</f>
        <v/>
      </c>
      <c r="D337" s="32" t="str">
        <f t="array" ref="D337">IF($C337="","",IFERROR(INDEX(Estimasi!$M$2:$M$1000,MATCH($C337,Estimasi!$L$2:$L$1000,0)),""))</f>
        <v/>
      </c>
      <c r="E337" s="32"/>
      <c r="F337" s="32" t="str">
        <f t="shared" si="4"/>
        <v/>
      </c>
      <c r="G337" s="11" t="str">
        <f t="shared" si="5"/>
        <v/>
      </c>
    </row>
    <row r="338" ht="15.75" customHeight="1">
      <c r="A338" s="52"/>
      <c r="B338" s="11"/>
      <c r="C338" s="11" t="str">
        <f t="array" ref="C338">IF($B338="","",IFERROR(INDEX(Estimasi!$I$2:$I$1000,MATCH($B338,Estimasi!$H$2:$H$1000,0)),""))</f>
        <v/>
      </c>
      <c r="D338" s="32" t="str">
        <f t="array" ref="D338">IF($C338="","",IFERROR(INDEX(Estimasi!$M$2:$M$1000,MATCH($C338,Estimasi!$L$2:$L$1000,0)),""))</f>
        <v/>
      </c>
      <c r="E338" s="32"/>
      <c r="F338" s="32" t="str">
        <f t="shared" si="4"/>
        <v/>
      </c>
      <c r="G338" s="11" t="str">
        <f t="shared" si="5"/>
        <v/>
      </c>
    </row>
    <row r="339" ht="15.75" customHeight="1">
      <c r="A339" s="52"/>
      <c r="B339" s="11"/>
      <c r="C339" s="11" t="str">
        <f t="array" ref="C339">IF($B339="","",IFERROR(INDEX(Estimasi!$I$2:$I$1000,MATCH($B339,Estimasi!$H$2:$H$1000,0)),""))</f>
        <v/>
      </c>
      <c r="D339" s="32" t="str">
        <f t="array" ref="D339">IF($C339="","",IFERROR(INDEX(Estimasi!$M$2:$M$1000,MATCH($C339,Estimasi!$L$2:$L$1000,0)),""))</f>
        <v/>
      </c>
      <c r="E339" s="32"/>
      <c r="F339" s="32" t="str">
        <f t="shared" si="4"/>
        <v/>
      </c>
      <c r="G339" s="11" t="str">
        <f t="shared" si="5"/>
        <v/>
      </c>
    </row>
    <row r="340" ht="15.75" customHeight="1">
      <c r="A340" s="52"/>
      <c r="B340" s="11"/>
      <c r="C340" s="11" t="str">
        <f t="array" ref="C340">IF($B340="","",IFERROR(INDEX(Estimasi!$I$2:$I$1000,MATCH($B340,Estimasi!$H$2:$H$1000,0)),""))</f>
        <v/>
      </c>
      <c r="D340" s="32" t="str">
        <f t="array" ref="D340">IF($C340="","",IFERROR(INDEX(Estimasi!$M$2:$M$1000,MATCH($C340,Estimasi!$L$2:$L$1000,0)),""))</f>
        <v/>
      </c>
      <c r="E340" s="32"/>
      <c r="F340" s="32" t="str">
        <f t="shared" si="4"/>
        <v/>
      </c>
      <c r="G340" s="11" t="str">
        <f t="shared" si="5"/>
        <v/>
      </c>
    </row>
    <row r="341" ht="15.75" customHeight="1">
      <c r="A341" s="52"/>
      <c r="B341" s="11"/>
      <c r="C341" s="11" t="str">
        <f t="array" ref="C341">IF($B341="","",IFERROR(INDEX(Estimasi!$I$2:$I$1000,MATCH($B341,Estimasi!$H$2:$H$1000,0)),""))</f>
        <v/>
      </c>
      <c r="D341" s="32" t="str">
        <f t="array" ref="D341">IF($C341="","",IFERROR(INDEX(Estimasi!$M$2:$M$1000,MATCH($C341,Estimasi!$L$2:$L$1000,0)),""))</f>
        <v/>
      </c>
      <c r="E341" s="32"/>
      <c r="F341" s="32" t="str">
        <f t="shared" si="4"/>
        <v/>
      </c>
      <c r="G341" s="11" t="str">
        <f t="shared" si="5"/>
        <v/>
      </c>
    </row>
    <row r="342" ht="15.75" customHeight="1">
      <c r="A342" s="52"/>
      <c r="B342" s="11"/>
      <c r="C342" s="11" t="str">
        <f t="array" ref="C342">IF($B342="","",IFERROR(INDEX(Estimasi!$I$2:$I$1000,MATCH($B342,Estimasi!$H$2:$H$1000,0)),""))</f>
        <v/>
      </c>
      <c r="D342" s="32" t="str">
        <f t="array" ref="D342">IF($C342="","",IFERROR(INDEX(Estimasi!$M$2:$M$1000,MATCH($C342,Estimasi!$L$2:$L$1000,0)),""))</f>
        <v/>
      </c>
      <c r="E342" s="32"/>
      <c r="F342" s="32" t="str">
        <f t="shared" si="4"/>
        <v/>
      </c>
      <c r="G342" s="11" t="str">
        <f t="shared" si="5"/>
        <v/>
      </c>
    </row>
    <row r="343" ht="15.75" customHeight="1">
      <c r="A343" s="52"/>
      <c r="B343" s="11"/>
      <c r="C343" s="11" t="str">
        <f t="array" ref="C343">IF($B343="","",IFERROR(INDEX(Estimasi!$I$2:$I$1000,MATCH($B343,Estimasi!$H$2:$H$1000,0)),""))</f>
        <v/>
      </c>
      <c r="D343" s="32" t="str">
        <f t="array" ref="D343">IF($C343="","",IFERROR(INDEX(Estimasi!$M$2:$M$1000,MATCH($C343,Estimasi!$L$2:$L$1000,0)),""))</f>
        <v/>
      </c>
      <c r="E343" s="32"/>
      <c r="F343" s="32" t="str">
        <f t="shared" si="4"/>
        <v/>
      </c>
      <c r="G343" s="11" t="str">
        <f t="shared" si="5"/>
        <v/>
      </c>
    </row>
    <row r="344" ht="15.75" customHeight="1">
      <c r="A344" s="52"/>
      <c r="B344" s="11"/>
      <c r="C344" s="11" t="str">
        <f t="array" ref="C344">IF($B344="","",IFERROR(INDEX(Estimasi!$I$2:$I$1000,MATCH($B344,Estimasi!$H$2:$H$1000,0)),""))</f>
        <v/>
      </c>
      <c r="D344" s="32" t="str">
        <f t="array" ref="D344">IF($C344="","",IFERROR(INDEX(Estimasi!$M$2:$M$1000,MATCH($C344,Estimasi!$L$2:$L$1000,0)),""))</f>
        <v/>
      </c>
      <c r="E344" s="32"/>
      <c r="F344" s="32" t="str">
        <f t="shared" si="4"/>
        <v/>
      </c>
      <c r="G344" s="11" t="str">
        <f t="shared" si="5"/>
        <v/>
      </c>
    </row>
    <row r="345" ht="15.75" customHeight="1">
      <c r="A345" s="52"/>
      <c r="B345" s="11"/>
      <c r="C345" s="11" t="str">
        <f t="array" ref="C345">IF($B345="","",IFERROR(INDEX(Estimasi!$I$2:$I$1000,MATCH($B345,Estimasi!$H$2:$H$1000,0)),""))</f>
        <v/>
      </c>
      <c r="D345" s="32" t="str">
        <f t="array" ref="D345">IF($C345="","",IFERROR(INDEX(Estimasi!$M$2:$M$1000,MATCH($C345,Estimasi!$L$2:$L$1000,0)),""))</f>
        <v/>
      </c>
      <c r="E345" s="32"/>
      <c r="F345" s="32" t="str">
        <f t="shared" si="4"/>
        <v/>
      </c>
      <c r="G345" s="11" t="str">
        <f t="shared" si="5"/>
        <v/>
      </c>
    </row>
    <row r="346" ht="15.75" customHeight="1">
      <c r="A346" s="52"/>
      <c r="B346" s="11"/>
      <c r="C346" s="11" t="str">
        <f t="array" ref="C346">IF($B346="","",IFERROR(INDEX(Estimasi!$I$2:$I$1000,MATCH($B346,Estimasi!$H$2:$H$1000,0)),""))</f>
        <v/>
      </c>
      <c r="D346" s="32" t="str">
        <f t="array" ref="D346">IF($C346="","",IFERROR(INDEX(Estimasi!$M$2:$M$1000,MATCH($C346,Estimasi!$L$2:$L$1000,0)),""))</f>
        <v/>
      </c>
      <c r="E346" s="32"/>
      <c r="F346" s="32" t="str">
        <f t="shared" si="4"/>
        <v/>
      </c>
      <c r="G346" s="11" t="str">
        <f t="shared" si="5"/>
        <v/>
      </c>
    </row>
    <row r="347" ht="15.75" customHeight="1">
      <c r="A347" s="52"/>
      <c r="B347" s="11"/>
      <c r="C347" s="11" t="str">
        <f t="array" ref="C347">IF($B347="","",IFERROR(INDEX(Estimasi!$I$2:$I$1000,MATCH($B347,Estimasi!$H$2:$H$1000,0)),""))</f>
        <v/>
      </c>
      <c r="D347" s="32" t="str">
        <f t="array" ref="D347">IF($C347="","",IFERROR(INDEX(Estimasi!$M$2:$M$1000,MATCH($C347,Estimasi!$L$2:$L$1000,0)),""))</f>
        <v/>
      </c>
      <c r="E347" s="32"/>
      <c r="F347" s="32" t="str">
        <f t="shared" si="4"/>
        <v/>
      </c>
      <c r="G347" s="11" t="str">
        <f t="shared" si="5"/>
        <v/>
      </c>
    </row>
    <row r="348" ht="15.75" customHeight="1">
      <c r="A348" s="52"/>
      <c r="B348" s="11"/>
      <c r="C348" s="11" t="str">
        <f t="array" ref="C348">IF($B348="","",IFERROR(INDEX(Estimasi!$I$2:$I$1000,MATCH($B348,Estimasi!$H$2:$H$1000,0)),""))</f>
        <v/>
      </c>
      <c r="D348" s="32" t="str">
        <f t="array" ref="D348">IF($C348="","",IFERROR(INDEX(Estimasi!$M$2:$M$1000,MATCH($C348,Estimasi!$L$2:$L$1000,0)),""))</f>
        <v/>
      </c>
      <c r="E348" s="32"/>
      <c r="F348" s="32" t="str">
        <f t="shared" si="4"/>
        <v/>
      </c>
      <c r="G348" s="11" t="str">
        <f t="shared" si="5"/>
        <v/>
      </c>
    </row>
    <row r="349" ht="15.75" customHeight="1">
      <c r="A349" s="52"/>
      <c r="B349" s="11"/>
      <c r="C349" s="11" t="str">
        <f t="array" ref="C349">IF($B349="","",IFERROR(INDEX(Estimasi!$I$2:$I$1000,MATCH($B349,Estimasi!$H$2:$H$1000,0)),""))</f>
        <v/>
      </c>
      <c r="D349" s="32" t="str">
        <f t="array" ref="D349">IF($C349="","",IFERROR(INDEX(Estimasi!$M$2:$M$1000,MATCH($C349,Estimasi!$L$2:$L$1000,0)),""))</f>
        <v/>
      </c>
      <c r="E349" s="32"/>
      <c r="F349" s="32" t="str">
        <f t="shared" si="4"/>
        <v/>
      </c>
      <c r="G349" s="11" t="str">
        <f t="shared" si="5"/>
        <v/>
      </c>
    </row>
    <row r="350" ht="15.75" customHeight="1">
      <c r="A350" s="52"/>
      <c r="B350" s="11"/>
      <c r="C350" s="11" t="str">
        <f t="array" ref="C350">IF($B350="","",IFERROR(INDEX(Estimasi!$I$2:$I$1000,MATCH($B350,Estimasi!$H$2:$H$1000,0)),""))</f>
        <v/>
      </c>
      <c r="D350" s="32" t="str">
        <f t="array" ref="D350">IF($C350="","",IFERROR(INDEX(Estimasi!$M$2:$M$1000,MATCH($C350,Estimasi!$L$2:$L$1000,0)),""))</f>
        <v/>
      </c>
      <c r="E350" s="32"/>
      <c r="F350" s="32" t="str">
        <f t="shared" si="4"/>
        <v/>
      </c>
      <c r="G350" s="11" t="str">
        <f t="shared" si="5"/>
        <v/>
      </c>
    </row>
    <row r="351" ht="15.75" customHeight="1">
      <c r="A351" s="52"/>
      <c r="B351" s="11"/>
      <c r="C351" s="11" t="str">
        <f t="array" ref="C351">IF($B351="","",IFERROR(INDEX(Estimasi!$I$2:$I$1000,MATCH($B351,Estimasi!$H$2:$H$1000,0)),""))</f>
        <v/>
      </c>
      <c r="D351" s="32" t="str">
        <f t="array" ref="D351">IF($C351="","",IFERROR(INDEX(Estimasi!$M$2:$M$1000,MATCH($C351,Estimasi!$L$2:$L$1000,0)),""))</f>
        <v/>
      </c>
      <c r="E351" s="32"/>
      <c r="F351" s="32" t="str">
        <f t="shared" si="4"/>
        <v/>
      </c>
      <c r="G351" s="11" t="str">
        <f t="shared" si="5"/>
        <v/>
      </c>
    </row>
    <row r="352" ht="15.75" customHeight="1">
      <c r="A352" s="52"/>
      <c r="B352" s="11"/>
      <c r="C352" s="11" t="str">
        <f t="array" ref="C352">IF($B352="","",IFERROR(INDEX(Estimasi!$I$2:$I$1000,MATCH($B352,Estimasi!$H$2:$H$1000,0)),""))</f>
        <v/>
      </c>
      <c r="D352" s="32" t="str">
        <f t="array" ref="D352">IF($C352="","",IFERROR(INDEX(Estimasi!$M$2:$M$1000,MATCH($C352,Estimasi!$L$2:$L$1000,0)),""))</f>
        <v/>
      </c>
      <c r="E352" s="32"/>
      <c r="F352" s="32" t="str">
        <f t="shared" si="4"/>
        <v/>
      </c>
      <c r="G352" s="11" t="str">
        <f t="shared" si="5"/>
        <v/>
      </c>
    </row>
    <row r="353" ht="15.75" customHeight="1">
      <c r="A353" s="52"/>
      <c r="B353" s="11"/>
      <c r="C353" s="11" t="str">
        <f t="array" ref="C353">IF($B353="","",IFERROR(INDEX(Estimasi!$I$2:$I$1000,MATCH($B353,Estimasi!$H$2:$H$1000,0)),""))</f>
        <v/>
      </c>
      <c r="D353" s="32" t="str">
        <f t="array" ref="D353">IF($C353="","",IFERROR(INDEX(Estimasi!$M$2:$M$1000,MATCH($C353,Estimasi!$L$2:$L$1000,0)),""))</f>
        <v/>
      </c>
      <c r="E353" s="32"/>
      <c r="F353" s="32" t="str">
        <f t="shared" si="4"/>
        <v/>
      </c>
      <c r="G353" s="11" t="str">
        <f t="shared" si="5"/>
        <v/>
      </c>
    </row>
    <row r="354" ht="15.75" customHeight="1">
      <c r="A354" s="52"/>
      <c r="B354" s="11"/>
      <c r="C354" s="11" t="str">
        <f t="array" ref="C354">IF($B354="","",IFERROR(INDEX(Estimasi!$I$2:$I$1000,MATCH($B354,Estimasi!$H$2:$H$1000,0)),""))</f>
        <v/>
      </c>
      <c r="D354" s="32" t="str">
        <f t="array" ref="D354">IF($C354="","",IFERROR(INDEX(Estimasi!$M$2:$M$1000,MATCH($C354,Estimasi!$L$2:$L$1000,0)),""))</f>
        <v/>
      </c>
      <c r="E354" s="32"/>
      <c r="F354" s="32" t="str">
        <f t="shared" si="4"/>
        <v/>
      </c>
      <c r="G354" s="11" t="str">
        <f t="shared" si="5"/>
        <v/>
      </c>
    </row>
    <row r="355" ht="15.75" customHeight="1">
      <c r="A355" s="52"/>
      <c r="B355" s="11"/>
      <c r="C355" s="11" t="str">
        <f t="array" ref="C355">IF($B355="","",IFERROR(INDEX(Estimasi!$I$2:$I$1000,MATCH($B355,Estimasi!$H$2:$H$1000,0)),""))</f>
        <v/>
      </c>
      <c r="D355" s="32" t="str">
        <f t="array" ref="D355">IF($C355="","",IFERROR(INDEX(Estimasi!$M$2:$M$1000,MATCH($C355,Estimasi!$L$2:$L$1000,0)),""))</f>
        <v/>
      </c>
      <c r="E355" s="32"/>
      <c r="F355" s="32" t="str">
        <f t="shared" si="4"/>
        <v/>
      </c>
      <c r="G355" s="11" t="str">
        <f t="shared" si="5"/>
        <v/>
      </c>
    </row>
    <row r="356" ht="15.75" customHeight="1">
      <c r="A356" s="52"/>
      <c r="B356" s="11"/>
      <c r="C356" s="11" t="str">
        <f t="array" ref="C356">IF($B356="","",IFERROR(INDEX(Estimasi!$I$2:$I$1000,MATCH($B356,Estimasi!$H$2:$H$1000,0)),""))</f>
        <v/>
      </c>
      <c r="D356" s="32" t="str">
        <f t="array" ref="D356">IF($C356="","",IFERROR(INDEX(Estimasi!$M$2:$M$1000,MATCH($C356,Estimasi!$L$2:$L$1000,0)),""))</f>
        <v/>
      </c>
      <c r="E356" s="32"/>
      <c r="F356" s="32" t="str">
        <f t="shared" si="4"/>
        <v/>
      </c>
      <c r="G356" s="11" t="str">
        <f t="shared" si="5"/>
        <v/>
      </c>
    </row>
    <row r="357" ht="15.75" customHeight="1">
      <c r="A357" s="52"/>
      <c r="B357" s="11"/>
      <c r="C357" s="11" t="str">
        <f t="array" ref="C357">IF($B357="","",IFERROR(INDEX(Estimasi!$I$2:$I$1000,MATCH($B357,Estimasi!$H$2:$H$1000,0)),""))</f>
        <v/>
      </c>
      <c r="D357" s="32" t="str">
        <f t="array" ref="D357">IF($C357="","",IFERROR(INDEX(Estimasi!$M$2:$M$1000,MATCH($C357,Estimasi!$L$2:$L$1000,0)),""))</f>
        <v/>
      </c>
      <c r="E357" s="32"/>
      <c r="F357" s="32" t="str">
        <f t="shared" si="4"/>
        <v/>
      </c>
      <c r="G357" s="11" t="str">
        <f t="shared" si="5"/>
        <v/>
      </c>
    </row>
    <row r="358" ht="15.75" customHeight="1">
      <c r="A358" s="52"/>
      <c r="B358" s="11"/>
      <c r="C358" s="11" t="str">
        <f t="array" ref="C358">IF($B358="","",IFERROR(INDEX(Estimasi!$I$2:$I$1000,MATCH($B358,Estimasi!$H$2:$H$1000,0)),""))</f>
        <v/>
      </c>
      <c r="D358" s="32" t="str">
        <f t="array" ref="D358">IF($C358="","",IFERROR(INDEX(Estimasi!$M$2:$M$1000,MATCH($C358,Estimasi!$L$2:$L$1000,0)),""))</f>
        <v/>
      </c>
      <c r="E358" s="32"/>
      <c r="F358" s="32" t="str">
        <f t="shared" si="4"/>
        <v/>
      </c>
      <c r="G358" s="11" t="str">
        <f t="shared" si="5"/>
        <v/>
      </c>
    </row>
    <row r="359" ht="15.75" customHeight="1">
      <c r="A359" s="52"/>
      <c r="B359" s="11"/>
      <c r="C359" s="11" t="str">
        <f t="array" ref="C359">IF($B359="","",IFERROR(INDEX(Estimasi!$I$2:$I$1000,MATCH($B359,Estimasi!$H$2:$H$1000,0)),""))</f>
        <v/>
      </c>
      <c r="D359" s="32" t="str">
        <f t="array" ref="D359">IF($C359="","",IFERROR(INDEX(Estimasi!$M$2:$M$1000,MATCH($C359,Estimasi!$L$2:$L$1000,0)),""))</f>
        <v/>
      </c>
      <c r="E359" s="32"/>
      <c r="F359" s="32" t="str">
        <f t="shared" si="4"/>
        <v/>
      </c>
      <c r="G359" s="11" t="str">
        <f t="shared" si="5"/>
        <v/>
      </c>
    </row>
    <row r="360" ht="15.75" customHeight="1">
      <c r="A360" s="52"/>
      <c r="B360" s="11"/>
      <c r="C360" s="11" t="str">
        <f t="array" ref="C360">IF($B360="","",IFERROR(INDEX(Estimasi!$I$2:$I$1000,MATCH($B360,Estimasi!$H$2:$H$1000,0)),""))</f>
        <v/>
      </c>
      <c r="D360" s="32" t="str">
        <f t="array" ref="D360">IF($C360="","",IFERROR(INDEX(Estimasi!$M$2:$M$1000,MATCH($C360,Estimasi!$L$2:$L$1000,0)),""))</f>
        <v/>
      </c>
      <c r="E360" s="32"/>
      <c r="F360" s="32" t="str">
        <f t="shared" si="4"/>
        <v/>
      </c>
      <c r="G360" s="11" t="str">
        <f t="shared" si="5"/>
        <v/>
      </c>
    </row>
    <row r="361" ht="15.75" customHeight="1">
      <c r="A361" s="52"/>
      <c r="B361" s="11"/>
      <c r="C361" s="11" t="str">
        <f t="array" ref="C361">IF($B361="","",IFERROR(INDEX(Estimasi!$I$2:$I$1000,MATCH($B361,Estimasi!$H$2:$H$1000,0)),""))</f>
        <v/>
      </c>
      <c r="D361" s="32" t="str">
        <f t="array" ref="D361">IF($C361="","",IFERROR(INDEX(Estimasi!$M$2:$M$1000,MATCH($C361,Estimasi!$L$2:$L$1000,0)),""))</f>
        <v/>
      </c>
      <c r="E361" s="32"/>
      <c r="F361" s="32" t="str">
        <f t="shared" si="4"/>
        <v/>
      </c>
      <c r="G361" s="11" t="str">
        <f t="shared" si="5"/>
        <v/>
      </c>
    </row>
    <row r="362" ht="15.75" customHeight="1">
      <c r="A362" s="52"/>
      <c r="B362" s="11"/>
      <c r="C362" s="11" t="str">
        <f t="array" ref="C362">IF($B362="","",IFERROR(INDEX(Estimasi!$I$2:$I$1000,MATCH($B362,Estimasi!$H$2:$H$1000,0)),""))</f>
        <v/>
      </c>
      <c r="D362" s="32" t="str">
        <f t="array" ref="D362">IF($C362="","",IFERROR(INDEX(Estimasi!$M$2:$M$1000,MATCH($C362,Estimasi!$L$2:$L$1000,0)),""))</f>
        <v/>
      </c>
      <c r="E362" s="32"/>
      <c r="F362" s="32" t="str">
        <f t="shared" si="4"/>
        <v/>
      </c>
      <c r="G362" s="11" t="str">
        <f t="shared" si="5"/>
        <v/>
      </c>
    </row>
    <row r="363" ht="15.75" customHeight="1">
      <c r="A363" s="52"/>
      <c r="B363" s="11"/>
      <c r="C363" s="11" t="str">
        <f t="array" ref="C363">IF($B363="","",IFERROR(INDEX(Estimasi!$I$2:$I$1000,MATCH($B363,Estimasi!$H$2:$H$1000,0)),""))</f>
        <v/>
      </c>
      <c r="D363" s="32" t="str">
        <f t="array" ref="D363">IF($C363="","",IFERROR(INDEX(Estimasi!$M$2:$M$1000,MATCH($C363,Estimasi!$L$2:$L$1000,0)),""))</f>
        <v/>
      </c>
      <c r="E363" s="32"/>
      <c r="F363" s="32" t="str">
        <f t="shared" si="4"/>
        <v/>
      </c>
      <c r="G363" s="11" t="str">
        <f t="shared" si="5"/>
        <v/>
      </c>
    </row>
    <row r="364" ht="15.75" customHeight="1">
      <c r="A364" s="52"/>
      <c r="B364" s="11"/>
      <c r="C364" s="11" t="str">
        <f t="array" ref="C364">IF($B364="","",IFERROR(INDEX(Estimasi!$I$2:$I$1000,MATCH($B364,Estimasi!$H$2:$H$1000,0)),""))</f>
        <v/>
      </c>
      <c r="D364" s="32" t="str">
        <f t="array" ref="D364">IF($C364="","",IFERROR(INDEX(Estimasi!$M$2:$M$1000,MATCH($C364,Estimasi!$L$2:$L$1000,0)),""))</f>
        <v/>
      </c>
      <c r="E364" s="32"/>
      <c r="F364" s="32" t="str">
        <f t="shared" si="4"/>
        <v/>
      </c>
      <c r="G364" s="11" t="str">
        <f t="shared" si="5"/>
        <v/>
      </c>
    </row>
    <row r="365" ht="15.75" customHeight="1">
      <c r="A365" s="52"/>
      <c r="B365" s="11"/>
      <c r="C365" s="11" t="str">
        <f t="array" ref="C365">IF($B365="","",IFERROR(INDEX(Estimasi!$I$2:$I$1000,MATCH($B365,Estimasi!$H$2:$H$1000,0)),""))</f>
        <v/>
      </c>
      <c r="D365" s="32" t="str">
        <f t="array" ref="D365">IF($C365="","",IFERROR(INDEX(Estimasi!$M$2:$M$1000,MATCH($C365,Estimasi!$L$2:$L$1000,0)),""))</f>
        <v/>
      </c>
      <c r="E365" s="32"/>
      <c r="F365" s="32" t="str">
        <f t="shared" si="4"/>
        <v/>
      </c>
      <c r="G365" s="11" t="str">
        <f t="shared" si="5"/>
        <v/>
      </c>
    </row>
    <row r="366" ht="15.75" customHeight="1">
      <c r="A366" s="52"/>
      <c r="B366" s="11"/>
      <c r="C366" s="11" t="str">
        <f t="array" ref="C366">IF($B366="","",IFERROR(INDEX(Estimasi!$I$2:$I$1000,MATCH($B366,Estimasi!$H$2:$H$1000,0)),""))</f>
        <v/>
      </c>
      <c r="D366" s="32" t="str">
        <f t="array" ref="D366">IF($C366="","",IFERROR(INDEX(Estimasi!$M$2:$M$1000,MATCH($C366,Estimasi!$L$2:$L$1000,0)),""))</f>
        <v/>
      </c>
      <c r="E366" s="32"/>
      <c r="F366" s="32" t="str">
        <f t="shared" si="4"/>
        <v/>
      </c>
      <c r="G366" s="11" t="str">
        <f t="shared" si="5"/>
        <v/>
      </c>
    </row>
    <row r="367" ht="15.75" customHeight="1">
      <c r="A367" s="52"/>
      <c r="B367" s="11"/>
      <c r="C367" s="11" t="str">
        <f t="array" ref="C367">IF($B367="","",IFERROR(INDEX(Estimasi!$I$2:$I$1000,MATCH($B367,Estimasi!$H$2:$H$1000,0)),""))</f>
        <v/>
      </c>
      <c r="D367" s="32" t="str">
        <f t="array" ref="D367">IF($C367="","",IFERROR(INDEX(Estimasi!$M$2:$M$1000,MATCH($C367,Estimasi!$L$2:$L$1000,0)),""))</f>
        <v/>
      </c>
      <c r="E367" s="32"/>
      <c r="F367" s="32" t="str">
        <f t="shared" si="4"/>
        <v/>
      </c>
      <c r="G367" s="11" t="str">
        <f t="shared" si="5"/>
        <v/>
      </c>
    </row>
    <row r="368" ht="15.75" customHeight="1">
      <c r="A368" s="52"/>
      <c r="B368" s="11"/>
      <c r="C368" s="11" t="str">
        <f t="array" ref="C368">IF($B368="","",IFERROR(INDEX(Estimasi!$I$2:$I$1000,MATCH($B368,Estimasi!$H$2:$H$1000,0)),""))</f>
        <v/>
      </c>
      <c r="D368" s="32" t="str">
        <f t="array" ref="D368">IF($C368="","",IFERROR(INDEX(Estimasi!$M$2:$M$1000,MATCH($C368,Estimasi!$L$2:$L$1000,0)),""))</f>
        <v/>
      </c>
      <c r="E368" s="32"/>
      <c r="F368" s="32" t="str">
        <f t="shared" si="4"/>
        <v/>
      </c>
      <c r="G368" s="11" t="str">
        <f t="shared" si="5"/>
        <v/>
      </c>
    </row>
    <row r="369" ht="15.75" customHeight="1">
      <c r="A369" s="52"/>
      <c r="B369" s="11"/>
      <c r="C369" s="11" t="str">
        <f t="array" ref="C369">IF($B369="","",IFERROR(INDEX(Estimasi!$I$2:$I$1000,MATCH($B369,Estimasi!$H$2:$H$1000,0)),""))</f>
        <v/>
      </c>
      <c r="D369" s="32" t="str">
        <f t="array" ref="D369">IF($C369="","",IFERROR(INDEX(Estimasi!$M$2:$M$1000,MATCH($C369,Estimasi!$L$2:$L$1000,0)),""))</f>
        <v/>
      </c>
      <c r="E369" s="32"/>
      <c r="F369" s="32" t="str">
        <f t="shared" si="4"/>
        <v/>
      </c>
      <c r="G369" s="11" t="str">
        <f t="shared" si="5"/>
        <v/>
      </c>
    </row>
    <row r="370" ht="15.75" customHeight="1">
      <c r="A370" s="52"/>
      <c r="B370" s="11"/>
      <c r="C370" s="11" t="str">
        <f t="array" ref="C370">IF($B370="","",IFERROR(INDEX(Estimasi!$I$2:$I$1000,MATCH($B370,Estimasi!$H$2:$H$1000,0)),""))</f>
        <v/>
      </c>
      <c r="D370" s="32" t="str">
        <f t="array" ref="D370">IF($C370="","",IFERROR(INDEX(Estimasi!$M$2:$M$1000,MATCH($C370,Estimasi!$L$2:$L$1000,0)),""))</f>
        <v/>
      </c>
      <c r="E370" s="32"/>
      <c r="F370" s="32" t="str">
        <f t="shared" si="4"/>
        <v/>
      </c>
      <c r="G370" s="11" t="str">
        <f t="shared" si="5"/>
        <v/>
      </c>
    </row>
    <row r="371" ht="15.75" customHeight="1">
      <c r="A371" s="52"/>
      <c r="B371" s="11"/>
      <c r="C371" s="11" t="str">
        <f t="array" ref="C371">IF($B371="","",IFERROR(INDEX(Estimasi!$I$2:$I$1000,MATCH($B371,Estimasi!$H$2:$H$1000,0)),""))</f>
        <v/>
      </c>
      <c r="D371" s="32" t="str">
        <f t="array" ref="D371">IF($C371="","",IFERROR(INDEX(Estimasi!$M$2:$M$1000,MATCH($C371,Estimasi!$L$2:$L$1000,0)),""))</f>
        <v/>
      </c>
      <c r="E371" s="32"/>
      <c r="F371" s="32" t="str">
        <f t="shared" si="4"/>
        <v/>
      </c>
      <c r="G371" s="11" t="str">
        <f t="shared" si="5"/>
        <v/>
      </c>
    </row>
    <row r="372" ht="15.75" customHeight="1">
      <c r="A372" s="52"/>
      <c r="B372" s="11"/>
      <c r="C372" s="11" t="str">
        <f t="array" ref="C372">IF($B372="","",IFERROR(INDEX(Estimasi!$I$2:$I$1000,MATCH($B372,Estimasi!$H$2:$H$1000,0)),""))</f>
        <v/>
      </c>
      <c r="D372" s="32" t="str">
        <f t="array" ref="D372">IF($C372="","",IFERROR(INDEX(Estimasi!$M$2:$M$1000,MATCH($C372,Estimasi!$L$2:$L$1000,0)),""))</f>
        <v/>
      </c>
      <c r="E372" s="32"/>
      <c r="F372" s="32" t="str">
        <f t="shared" si="4"/>
        <v/>
      </c>
      <c r="G372" s="11" t="str">
        <f t="shared" si="5"/>
        <v/>
      </c>
    </row>
    <row r="373" ht="15.75" customHeight="1">
      <c r="A373" s="52"/>
      <c r="B373" s="11"/>
      <c r="C373" s="11" t="str">
        <f t="array" ref="C373">IF($B373="","",IFERROR(INDEX(Estimasi!$I$2:$I$1000,MATCH($B373,Estimasi!$H$2:$H$1000,0)),""))</f>
        <v/>
      </c>
      <c r="D373" s="32" t="str">
        <f t="array" ref="D373">IF($C373="","",IFERROR(INDEX(Estimasi!$M$2:$M$1000,MATCH($C373,Estimasi!$L$2:$L$1000,0)),""))</f>
        <v/>
      </c>
      <c r="E373" s="32"/>
      <c r="F373" s="32" t="str">
        <f t="shared" si="4"/>
        <v/>
      </c>
      <c r="G373" s="11" t="str">
        <f t="shared" si="5"/>
        <v/>
      </c>
    </row>
    <row r="374" ht="15.75" customHeight="1">
      <c r="A374" s="52"/>
      <c r="B374" s="11"/>
      <c r="C374" s="11" t="str">
        <f t="array" ref="C374">IF($B374="","",IFERROR(INDEX(Estimasi!$I$2:$I$1000,MATCH($B374,Estimasi!$H$2:$H$1000,0)),""))</f>
        <v/>
      </c>
      <c r="D374" s="32" t="str">
        <f t="array" ref="D374">IF($C374="","",IFERROR(INDEX(Estimasi!$M$2:$M$1000,MATCH($C374,Estimasi!$L$2:$L$1000,0)),""))</f>
        <v/>
      </c>
      <c r="E374" s="32"/>
      <c r="F374" s="32" t="str">
        <f t="shared" si="4"/>
        <v/>
      </c>
      <c r="G374" s="11" t="str">
        <f t="shared" si="5"/>
        <v/>
      </c>
    </row>
    <row r="375" ht="15.75" customHeight="1">
      <c r="A375" s="52"/>
      <c r="B375" s="11"/>
      <c r="C375" s="11" t="str">
        <f t="array" ref="C375">IF($B375="","",IFERROR(INDEX(Estimasi!$I$2:$I$1000,MATCH($B375,Estimasi!$H$2:$H$1000,0)),""))</f>
        <v/>
      </c>
      <c r="D375" s="32" t="str">
        <f t="array" ref="D375">IF($C375="","",IFERROR(INDEX(Estimasi!$M$2:$M$1000,MATCH($C375,Estimasi!$L$2:$L$1000,0)),""))</f>
        <v/>
      </c>
      <c r="E375" s="32"/>
      <c r="F375" s="32" t="str">
        <f t="shared" si="4"/>
        <v/>
      </c>
      <c r="G375" s="11" t="str">
        <f t="shared" si="5"/>
        <v/>
      </c>
    </row>
    <row r="376" ht="15.75" customHeight="1">
      <c r="A376" s="52"/>
      <c r="B376" s="11"/>
      <c r="C376" s="11" t="str">
        <f t="array" ref="C376">IF($B376="","",IFERROR(INDEX(Estimasi!$I$2:$I$1000,MATCH($B376,Estimasi!$H$2:$H$1000,0)),""))</f>
        <v/>
      </c>
      <c r="D376" s="32" t="str">
        <f t="array" ref="D376">IF($C376="","",IFERROR(INDEX(Estimasi!$M$2:$M$1000,MATCH($C376,Estimasi!$L$2:$L$1000,0)),""))</f>
        <v/>
      </c>
      <c r="E376" s="32"/>
      <c r="F376" s="32" t="str">
        <f t="shared" si="4"/>
        <v/>
      </c>
      <c r="G376" s="11" t="str">
        <f t="shared" si="5"/>
        <v/>
      </c>
    </row>
    <row r="377" ht="15.75" customHeight="1">
      <c r="A377" s="52"/>
      <c r="B377" s="11"/>
      <c r="C377" s="11" t="str">
        <f t="array" ref="C377">IF($B377="","",IFERROR(INDEX(Estimasi!$I$2:$I$1000,MATCH($B377,Estimasi!$H$2:$H$1000,0)),""))</f>
        <v/>
      </c>
      <c r="D377" s="32" t="str">
        <f t="array" ref="D377">IF($C377="","",IFERROR(INDEX(Estimasi!$M$2:$M$1000,MATCH($C377,Estimasi!$L$2:$L$1000,0)),""))</f>
        <v/>
      </c>
      <c r="E377" s="32"/>
      <c r="F377" s="32" t="str">
        <f t="shared" si="4"/>
        <v/>
      </c>
      <c r="G377" s="11" t="str">
        <f t="shared" si="5"/>
        <v/>
      </c>
    </row>
    <row r="378" ht="15.75" customHeight="1">
      <c r="A378" s="52"/>
      <c r="B378" s="11"/>
      <c r="C378" s="11" t="str">
        <f t="array" ref="C378">IF($B378="","",IFERROR(INDEX(Estimasi!$I$2:$I$1000,MATCH($B378,Estimasi!$H$2:$H$1000,0)),""))</f>
        <v/>
      </c>
      <c r="D378" s="32" t="str">
        <f t="array" ref="D378">IF($C378="","",IFERROR(INDEX(Estimasi!$M$2:$M$1000,MATCH($C378,Estimasi!$L$2:$L$1000,0)),""))</f>
        <v/>
      </c>
      <c r="E378" s="32"/>
      <c r="F378" s="32" t="str">
        <f t="shared" si="4"/>
        <v/>
      </c>
      <c r="G378" s="11" t="str">
        <f t="shared" si="5"/>
        <v/>
      </c>
    </row>
    <row r="379" ht="15.75" customHeight="1">
      <c r="A379" s="52"/>
      <c r="B379" s="11"/>
      <c r="C379" s="11" t="str">
        <f t="array" ref="C379">IF($B379="","",IFERROR(INDEX(Estimasi!$I$2:$I$1000,MATCH($B379,Estimasi!$H$2:$H$1000,0)),""))</f>
        <v/>
      </c>
      <c r="D379" s="32" t="str">
        <f t="array" ref="D379">IF($C379="","",IFERROR(INDEX(Estimasi!$M$2:$M$1000,MATCH($C379,Estimasi!$L$2:$L$1000,0)),""))</f>
        <v/>
      </c>
      <c r="E379" s="32"/>
      <c r="F379" s="32" t="str">
        <f t="shared" si="4"/>
        <v/>
      </c>
      <c r="G379" s="11" t="str">
        <f t="shared" si="5"/>
        <v/>
      </c>
    </row>
    <row r="380" ht="15.75" customHeight="1">
      <c r="A380" s="52"/>
      <c r="B380" s="11"/>
      <c r="C380" s="11" t="str">
        <f t="array" ref="C380">IF($B380="","",IFERROR(INDEX(Estimasi!$I$2:$I$1000,MATCH($B380,Estimasi!$H$2:$H$1000,0)),""))</f>
        <v/>
      </c>
      <c r="D380" s="32" t="str">
        <f t="array" ref="D380">IF($C380="","",IFERROR(INDEX(Estimasi!$M$2:$M$1000,MATCH($C380,Estimasi!$L$2:$L$1000,0)),""))</f>
        <v/>
      </c>
      <c r="E380" s="32"/>
      <c r="F380" s="32" t="str">
        <f t="shared" si="4"/>
        <v/>
      </c>
      <c r="G380" s="11" t="str">
        <f t="shared" si="5"/>
        <v/>
      </c>
    </row>
    <row r="381" ht="15.75" customHeight="1">
      <c r="A381" s="52"/>
      <c r="B381" s="11"/>
      <c r="C381" s="11" t="str">
        <f t="array" ref="C381">IF($B381="","",IFERROR(INDEX(Estimasi!$I$2:$I$1000,MATCH($B381,Estimasi!$H$2:$H$1000,0)),""))</f>
        <v/>
      </c>
      <c r="D381" s="32" t="str">
        <f t="array" ref="D381">IF($C381="","",IFERROR(INDEX(Estimasi!$M$2:$M$1000,MATCH($C381,Estimasi!$L$2:$L$1000,0)),""))</f>
        <v/>
      </c>
      <c r="E381" s="32"/>
      <c r="F381" s="32" t="str">
        <f t="shared" si="4"/>
        <v/>
      </c>
      <c r="G381" s="11" t="str">
        <f t="shared" si="5"/>
        <v/>
      </c>
    </row>
    <row r="382" ht="15.75" customHeight="1">
      <c r="A382" s="52"/>
      <c r="B382" s="11"/>
      <c r="C382" s="11" t="str">
        <f t="array" ref="C382">IF($B382="","",IFERROR(INDEX(Estimasi!$I$2:$I$1000,MATCH($B382,Estimasi!$H$2:$H$1000,0)),""))</f>
        <v/>
      </c>
      <c r="D382" s="32" t="str">
        <f t="array" ref="D382">IF($C382="","",IFERROR(INDEX(Estimasi!$M$2:$M$1000,MATCH($C382,Estimasi!$L$2:$L$1000,0)),""))</f>
        <v/>
      </c>
      <c r="E382" s="32"/>
      <c r="F382" s="32" t="str">
        <f t="shared" si="4"/>
        <v/>
      </c>
      <c r="G382" s="11" t="str">
        <f t="shared" si="5"/>
        <v/>
      </c>
    </row>
    <row r="383" ht="15.75" customHeight="1">
      <c r="A383" s="52"/>
      <c r="B383" s="11"/>
      <c r="C383" s="11" t="str">
        <f t="array" ref="C383">IF($B383="","",IFERROR(INDEX(Estimasi!$I$2:$I$1000,MATCH($B383,Estimasi!$H$2:$H$1000,0)),""))</f>
        <v/>
      </c>
      <c r="D383" s="32" t="str">
        <f t="array" ref="D383">IF($C383="","",IFERROR(INDEX(Estimasi!$M$2:$M$1000,MATCH($C383,Estimasi!$L$2:$L$1000,0)),""))</f>
        <v/>
      </c>
      <c r="E383" s="32"/>
      <c r="F383" s="32" t="str">
        <f t="shared" si="4"/>
        <v/>
      </c>
      <c r="G383" s="11" t="str">
        <f t="shared" si="5"/>
        <v/>
      </c>
    </row>
    <row r="384" ht="15.75" customHeight="1">
      <c r="A384" s="52"/>
      <c r="B384" s="11"/>
      <c r="C384" s="11" t="str">
        <f t="array" ref="C384">IF($B384="","",IFERROR(INDEX(Estimasi!$I$2:$I$1000,MATCH($B384,Estimasi!$H$2:$H$1000,0)),""))</f>
        <v/>
      </c>
      <c r="D384" s="32" t="str">
        <f t="array" ref="D384">IF($C384="","",IFERROR(INDEX(Estimasi!$M$2:$M$1000,MATCH($C384,Estimasi!$L$2:$L$1000,0)),""))</f>
        <v/>
      </c>
      <c r="E384" s="32"/>
      <c r="F384" s="32" t="str">
        <f t="shared" si="4"/>
        <v/>
      </c>
      <c r="G384" s="11" t="str">
        <f t="shared" si="5"/>
        <v/>
      </c>
    </row>
    <row r="385" ht="15.75" customHeight="1">
      <c r="A385" s="52"/>
      <c r="B385" s="11"/>
      <c r="C385" s="11" t="str">
        <f t="array" ref="C385">IF($B385="","",IFERROR(INDEX(Estimasi!$I$2:$I$1000,MATCH($B385,Estimasi!$H$2:$H$1000,0)),""))</f>
        <v/>
      </c>
      <c r="D385" s="32" t="str">
        <f t="array" ref="D385">IF($C385="","",IFERROR(INDEX(Estimasi!$M$2:$M$1000,MATCH($C385,Estimasi!$L$2:$L$1000,0)),""))</f>
        <v/>
      </c>
      <c r="E385" s="32"/>
      <c r="F385" s="32" t="str">
        <f t="shared" si="4"/>
        <v/>
      </c>
      <c r="G385" s="11" t="str">
        <f t="shared" si="5"/>
        <v/>
      </c>
    </row>
    <row r="386" ht="15.75" customHeight="1">
      <c r="A386" s="52"/>
      <c r="B386" s="11"/>
      <c r="C386" s="11" t="str">
        <f t="array" ref="C386">IF($B386="","",IFERROR(INDEX(Estimasi!$I$2:$I$1000,MATCH($B386,Estimasi!$H$2:$H$1000,0)),""))</f>
        <v/>
      </c>
      <c r="D386" s="32" t="str">
        <f t="array" ref="D386">IF($C386="","",IFERROR(INDEX(Estimasi!$M$2:$M$1000,MATCH($C386,Estimasi!$L$2:$L$1000,0)),""))</f>
        <v/>
      </c>
      <c r="E386" s="32"/>
      <c r="F386" s="32" t="str">
        <f t="shared" si="4"/>
        <v/>
      </c>
      <c r="G386" s="11" t="str">
        <f t="shared" si="5"/>
        <v/>
      </c>
    </row>
    <row r="387" ht="15.75" customHeight="1">
      <c r="A387" s="52"/>
      <c r="B387" s="11"/>
      <c r="C387" s="11" t="str">
        <f t="array" ref="C387">IF($B387="","",IFERROR(INDEX(Estimasi!$I$2:$I$1000,MATCH($B387,Estimasi!$H$2:$H$1000,0)),""))</f>
        <v/>
      </c>
      <c r="D387" s="32" t="str">
        <f t="array" ref="D387">IF($C387="","",IFERROR(INDEX(Estimasi!$M$2:$M$1000,MATCH($C387,Estimasi!$L$2:$L$1000,0)),""))</f>
        <v/>
      </c>
      <c r="E387" s="32"/>
      <c r="F387" s="32" t="str">
        <f t="shared" si="4"/>
        <v/>
      </c>
      <c r="G387" s="11" t="str">
        <f t="shared" si="5"/>
        <v/>
      </c>
    </row>
    <row r="388" ht="15.75" customHeight="1">
      <c r="A388" s="52"/>
      <c r="B388" s="11"/>
      <c r="C388" s="11" t="str">
        <f t="array" ref="C388">IF($B388="","",IFERROR(INDEX(Estimasi!$I$2:$I$1000,MATCH($B388,Estimasi!$H$2:$H$1000,0)),""))</f>
        <v/>
      </c>
      <c r="D388" s="32" t="str">
        <f t="array" ref="D388">IF($C388="","",IFERROR(INDEX(Estimasi!$M$2:$M$1000,MATCH($C388,Estimasi!$L$2:$L$1000,0)),""))</f>
        <v/>
      </c>
      <c r="E388" s="32"/>
      <c r="F388" s="32" t="str">
        <f t="shared" si="4"/>
        <v/>
      </c>
      <c r="G388" s="11" t="str">
        <f t="shared" si="5"/>
        <v/>
      </c>
    </row>
    <row r="389" ht="15.75" customHeight="1">
      <c r="A389" s="52"/>
      <c r="B389" s="11"/>
      <c r="C389" s="11" t="str">
        <f t="array" ref="C389">IF($B389="","",IFERROR(INDEX(Estimasi!$I$2:$I$1000,MATCH($B389,Estimasi!$H$2:$H$1000,0)),""))</f>
        <v/>
      </c>
      <c r="D389" s="32" t="str">
        <f t="array" ref="D389">IF($C389="","",IFERROR(INDEX(Estimasi!$M$2:$M$1000,MATCH($C389,Estimasi!$L$2:$L$1000,0)),""))</f>
        <v/>
      </c>
      <c r="E389" s="32"/>
      <c r="F389" s="32" t="str">
        <f t="shared" si="4"/>
        <v/>
      </c>
      <c r="G389" s="11" t="str">
        <f t="shared" si="5"/>
        <v/>
      </c>
    </row>
    <row r="390" ht="15.75" customHeight="1">
      <c r="A390" s="52"/>
      <c r="B390" s="11"/>
      <c r="C390" s="11" t="str">
        <f t="array" ref="C390">IF($B390="","",IFERROR(INDEX(Estimasi!$I$2:$I$1000,MATCH($B390,Estimasi!$H$2:$H$1000,0)),""))</f>
        <v/>
      </c>
      <c r="D390" s="32" t="str">
        <f t="array" ref="D390">IF($C390="","",IFERROR(INDEX(Estimasi!$M$2:$M$1000,MATCH($C390,Estimasi!$L$2:$L$1000,0)),""))</f>
        <v/>
      </c>
      <c r="E390" s="32"/>
      <c r="F390" s="32" t="str">
        <f t="shared" si="4"/>
        <v/>
      </c>
      <c r="G390" s="11" t="str">
        <f t="shared" si="5"/>
        <v/>
      </c>
    </row>
    <row r="391" ht="15.75" customHeight="1">
      <c r="A391" s="52"/>
      <c r="B391" s="11"/>
      <c r="C391" s="11" t="str">
        <f t="array" ref="C391">IF($B391="","",IFERROR(INDEX(Estimasi!$I$2:$I$1000,MATCH($B391,Estimasi!$H$2:$H$1000,0)),""))</f>
        <v/>
      </c>
      <c r="D391" s="32" t="str">
        <f t="array" ref="D391">IF($C391="","",IFERROR(INDEX(Estimasi!$M$2:$M$1000,MATCH($C391,Estimasi!$L$2:$L$1000,0)),""))</f>
        <v/>
      </c>
      <c r="E391" s="32"/>
      <c r="F391" s="32" t="str">
        <f t="shared" si="4"/>
        <v/>
      </c>
      <c r="G391" s="11" t="str">
        <f t="shared" si="5"/>
        <v/>
      </c>
    </row>
    <row r="392" ht="15.75" customHeight="1">
      <c r="A392" s="52"/>
      <c r="B392" s="11"/>
      <c r="C392" s="11" t="str">
        <f t="array" ref="C392">IF($B392="","",IFERROR(INDEX(Estimasi!$I$2:$I$1000,MATCH($B392,Estimasi!$H$2:$H$1000,0)),""))</f>
        <v/>
      </c>
      <c r="D392" s="32" t="str">
        <f t="array" ref="D392">IF($C392="","",IFERROR(INDEX(Estimasi!$M$2:$M$1000,MATCH($C392,Estimasi!$L$2:$L$1000,0)),""))</f>
        <v/>
      </c>
      <c r="E392" s="32"/>
      <c r="F392" s="32" t="str">
        <f t="shared" si="4"/>
        <v/>
      </c>
      <c r="G392" s="11" t="str">
        <f t="shared" si="5"/>
        <v/>
      </c>
    </row>
    <row r="393" ht="15.75" customHeight="1">
      <c r="A393" s="52"/>
      <c r="B393" s="11"/>
      <c r="C393" s="11" t="str">
        <f t="array" ref="C393">IF($B393="","",IFERROR(INDEX(Estimasi!$I$2:$I$1000,MATCH($B393,Estimasi!$H$2:$H$1000,0)),""))</f>
        <v/>
      </c>
      <c r="D393" s="32" t="str">
        <f t="array" ref="D393">IF($C393="","",IFERROR(INDEX(Estimasi!$M$2:$M$1000,MATCH($C393,Estimasi!$L$2:$L$1000,0)),""))</f>
        <v/>
      </c>
      <c r="E393" s="32"/>
      <c r="F393" s="32" t="str">
        <f t="shared" si="4"/>
        <v/>
      </c>
      <c r="G393" s="11" t="str">
        <f t="shared" si="5"/>
        <v/>
      </c>
    </row>
    <row r="394" ht="15.75" customHeight="1">
      <c r="A394" s="52"/>
      <c r="B394" s="11"/>
      <c r="C394" s="11" t="str">
        <f t="array" ref="C394">IF($B394="","",IFERROR(INDEX(Estimasi!$I$2:$I$1000,MATCH($B394,Estimasi!$H$2:$H$1000,0)),""))</f>
        <v/>
      </c>
      <c r="D394" s="32" t="str">
        <f t="array" ref="D394">IF($C394="","",IFERROR(INDEX(Estimasi!$M$2:$M$1000,MATCH($C394,Estimasi!$L$2:$L$1000,0)),""))</f>
        <v/>
      </c>
      <c r="E394" s="32"/>
      <c r="F394" s="32" t="str">
        <f t="shared" si="4"/>
        <v/>
      </c>
      <c r="G394" s="11" t="str">
        <f t="shared" si="5"/>
        <v/>
      </c>
    </row>
    <row r="395" ht="15.75" customHeight="1">
      <c r="A395" s="52"/>
      <c r="B395" s="11"/>
      <c r="C395" s="11" t="str">
        <f t="array" ref="C395">IF($B395="","",IFERROR(INDEX(Estimasi!$I$2:$I$1000,MATCH($B395,Estimasi!$H$2:$H$1000,0)),""))</f>
        <v/>
      </c>
      <c r="D395" s="32" t="str">
        <f t="array" ref="D395">IF($C395="","",IFERROR(INDEX(Estimasi!$M$2:$M$1000,MATCH($C395,Estimasi!$L$2:$L$1000,0)),""))</f>
        <v/>
      </c>
      <c r="E395" s="32"/>
      <c r="F395" s="32" t="str">
        <f t="shared" si="4"/>
        <v/>
      </c>
      <c r="G395" s="11" t="str">
        <f t="shared" si="5"/>
        <v/>
      </c>
    </row>
    <row r="396" ht="15.75" customHeight="1">
      <c r="A396" s="52"/>
      <c r="B396" s="11"/>
      <c r="C396" s="11" t="str">
        <f t="array" ref="C396">IF($B396="","",IFERROR(INDEX(Estimasi!$I$2:$I$1000,MATCH($B396,Estimasi!$H$2:$H$1000,0)),""))</f>
        <v/>
      </c>
      <c r="D396" s="32" t="str">
        <f t="array" ref="D396">IF($C396="","",IFERROR(INDEX(Estimasi!$M$2:$M$1000,MATCH($C396,Estimasi!$L$2:$L$1000,0)),""))</f>
        <v/>
      </c>
      <c r="E396" s="32"/>
      <c r="F396" s="32" t="str">
        <f t="shared" si="4"/>
        <v/>
      </c>
      <c r="G396" s="11" t="str">
        <f t="shared" si="5"/>
        <v/>
      </c>
    </row>
    <row r="397" ht="15.75" customHeight="1">
      <c r="A397" s="52"/>
      <c r="B397" s="11"/>
      <c r="C397" s="11" t="str">
        <f t="array" ref="C397">IF($B397="","",IFERROR(INDEX(Estimasi!$I$2:$I$1000,MATCH($B397,Estimasi!$H$2:$H$1000,0)),""))</f>
        <v/>
      </c>
      <c r="D397" s="32" t="str">
        <f t="array" ref="D397">IF($C397="","",IFERROR(INDEX(Estimasi!$M$2:$M$1000,MATCH($C397,Estimasi!$L$2:$L$1000,0)),""))</f>
        <v/>
      </c>
      <c r="E397" s="32"/>
      <c r="F397" s="32" t="str">
        <f t="shared" si="4"/>
        <v/>
      </c>
      <c r="G397" s="11" t="str">
        <f t="shared" si="5"/>
        <v/>
      </c>
    </row>
    <row r="398" ht="15.75" customHeight="1">
      <c r="A398" s="52"/>
      <c r="B398" s="11"/>
      <c r="C398" s="11" t="str">
        <f t="array" ref="C398">IF($B398="","",IFERROR(INDEX(Estimasi!$I$2:$I$1000,MATCH($B398,Estimasi!$H$2:$H$1000,0)),""))</f>
        <v/>
      </c>
      <c r="D398" s="32" t="str">
        <f t="array" ref="D398">IF($C398="","",IFERROR(INDEX(Estimasi!$M$2:$M$1000,MATCH($C398,Estimasi!$L$2:$L$1000,0)),""))</f>
        <v/>
      </c>
      <c r="E398" s="32"/>
      <c r="F398" s="32" t="str">
        <f t="shared" si="4"/>
        <v/>
      </c>
      <c r="G398" s="11" t="str">
        <f t="shared" si="5"/>
        <v/>
      </c>
    </row>
    <row r="399" ht="15.75" customHeight="1">
      <c r="A399" s="52"/>
      <c r="B399" s="11"/>
      <c r="C399" s="11" t="str">
        <f t="array" ref="C399">IF($B399="","",IFERROR(INDEX(Estimasi!$I$2:$I$1000,MATCH($B399,Estimasi!$H$2:$H$1000,0)),""))</f>
        <v/>
      </c>
      <c r="D399" s="32" t="str">
        <f t="array" ref="D399">IF($C399="","",IFERROR(INDEX(Estimasi!$M$2:$M$1000,MATCH($C399,Estimasi!$L$2:$L$1000,0)),""))</f>
        <v/>
      </c>
      <c r="E399" s="32"/>
      <c r="F399" s="32" t="str">
        <f t="shared" si="4"/>
        <v/>
      </c>
      <c r="G399" s="11" t="str">
        <f t="shared" si="5"/>
        <v/>
      </c>
    </row>
    <row r="400" ht="15.75" customHeight="1">
      <c r="A400" s="52"/>
      <c r="B400" s="11"/>
      <c r="C400" s="11" t="str">
        <f t="array" ref="C400">IF($B400="","",IFERROR(INDEX(Estimasi!$I$2:$I$1000,MATCH($B400,Estimasi!$H$2:$H$1000,0)),""))</f>
        <v/>
      </c>
      <c r="D400" s="32" t="str">
        <f t="array" ref="D400">IF($C400="","",IFERROR(INDEX(Estimasi!$M$2:$M$1000,MATCH($C400,Estimasi!$L$2:$L$1000,0)),""))</f>
        <v/>
      </c>
      <c r="E400" s="32"/>
      <c r="F400" s="32" t="str">
        <f t="shared" si="4"/>
        <v/>
      </c>
      <c r="G400" s="11" t="str">
        <f t="shared" si="5"/>
        <v/>
      </c>
    </row>
    <row r="401" ht="15.75" customHeight="1">
      <c r="A401" s="52"/>
      <c r="B401" s="11"/>
      <c r="C401" s="11" t="str">
        <f t="array" ref="C401">IF($B401="","",IFERROR(INDEX(Estimasi!$I$2:$I$1000,MATCH($B401,Estimasi!$H$2:$H$1000,0)),""))</f>
        <v/>
      </c>
      <c r="D401" s="32" t="str">
        <f t="array" ref="D401">IF($C401="","",IFERROR(INDEX(Estimasi!$M$2:$M$1000,MATCH($C401,Estimasi!$L$2:$L$1000,0)),""))</f>
        <v/>
      </c>
      <c r="E401" s="32"/>
      <c r="F401" s="32" t="str">
        <f t="shared" si="4"/>
        <v/>
      </c>
      <c r="G401" s="11" t="str">
        <f t="shared" si="5"/>
        <v/>
      </c>
    </row>
    <row r="402" ht="15.75" customHeight="1">
      <c r="A402" s="52"/>
      <c r="B402" s="11"/>
      <c r="C402" s="11" t="str">
        <f t="array" ref="C402">IF($B402="","",IFERROR(INDEX(Estimasi!$I$2:$I$1000,MATCH($B402,Estimasi!$H$2:$H$1000,0)),""))</f>
        <v/>
      </c>
      <c r="D402" s="32" t="str">
        <f t="array" ref="D402">IF($C402="","",IFERROR(INDEX(Estimasi!$M$2:$M$1000,MATCH($C402,Estimasi!$L$2:$L$1000,0)),""))</f>
        <v/>
      </c>
      <c r="E402" s="32"/>
      <c r="F402" s="32" t="str">
        <f t="shared" si="4"/>
        <v/>
      </c>
      <c r="G402" s="11" t="str">
        <f t="shared" si="5"/>
        <v/>
      </c>
    </row>
    <row r="403" ht="15.75" customHeight="1">
      <c r="A403" s="52"/>
      <c r="B403" s="11"/>
      <c r="C403" s="11" t="str">
        <f t="array" ref="C403">IF($B403="","",IFERROR(INDEX(Estimasi!$I$2:$I$1000,MATCH($B403,Estimasi!$H$2:$H$1000,0)),""))</f>
        <v/>
      </c>
      <c r="D403" s="32" t="str">
        <f t="array" ref="D403">IF($C403="","",IFERROR(INDEX(Estimasi!$M$2:$M$1000,MATCH($C403,Estimasi!$L$2:$L$1000,0)),""))</f>
        <v/>
      </c>
      <c r="E403" s="32"/>
      <c r="F403" s="32" t="str">
        <f t="shared" si="4"/>
        <v/>
      </c>
      <c r="G403" s="11" t="str">
        <f t="shared" si="5"/>
        <v/>
      </c>
    </row>
    <row r="404" ht="15.75" customHeight="1">
      <c r="A404" s="52"/>
      <c r="B404" s="11"/>
      <c r="C404" s="11" t="str">
        <f t="array" ref="C404">IF($B404="","",IFERROR(INDEX(Estimasi!$I$2:$I$1000,MATCH($B404,Estimasi!$H$2:$H$1000,0)),""))</f>
        <v/>
      </c>
      <c r="D404" s="32" t="str">
        <f t="array" ref="D404">IF($C404="","",IFERROR(INDEX(Estimasi!$M$2:$M$1000,MATCH($C404,Estimasi!$L$2:$L$1000,0)),""))</f>
        <v/>
      </c>
      <c r="E404" s="32"/>
      <c r="F404" s="32" t="str">
        <f t="shared" si="4"/>
        <v/>
      </c>
      <c r="G404" s="11" t="str">
        <f t="shared" si="5"/>
        <v/>
      </c>
    </row>
    <row r="405" ht="15.75" customHeight="1">
      <c r="A405" s="52"/>
      <c r="B405" s="11"/>
      <c r="C405" s="11" t="str">
        <f t="array" ref="C405">IF($B405="","",IFERROR(INDEX(Estimasi!$I$2:$I$1000,MATCH($B405,Estimasi!$H$2:$H$1000,0)),""))</f>
        <v/>
      </c>
      <c r="D405" s="32" t="str">
        <f t="array" ref="D405">IF($C405="","",IFERROR(INDEX(Estimasi!$M$2:$M$1000,MATCH($C405,Estimasi!$L$2:$L$1000,0)),""))</f>
        <v/>
      </c>
      <c r="E405" s="32"/>
      <c r="F405" s="32" t="str">
        <f t="shared" si="4"/>
        <v/>
      </c>
      <c r="G405" s="11" t="str">
        <f t="shared" si="5"/>
        <v/>
      </c>
    </row>
    <row r="406" ht="15.75" customHeight="1">
      <c r="A406" s="52"/>
      <c r="B406" s="11"/>
      <c r="C406" s="11" t="str">
        <f t="array" ref="C406">IF($B406="","",IFERROR(INDEX(Estimasi!$I$2:$I$1000,MATCH($B406,Estimasi!$H$2:$H$1000,0)),""))</f>
        <v/>
      </c>
      <c r="D406" s="32" t="str">
        <f t="array" ref="D406">IF($C406="","",IFERROR(INDEX(Estimasi!$M$2:$M$1000,MATCH($C406,Estimasi!$L$2:$L$1000,0)),""))</f>
        <v/>
      </c>
      <c r="E406" s="32"/>
      <c r="F406" s="32" t="str">
        <f t="shared" si="4"/>
        <v/>
      </c>
      <c r="G406" s="11" t="str">
        <f t="shared" si="5"/>
        <v/>
      </c>
    </row>
    <row r="407" ht="15.75" customHeight="1">
      <c r="A407" s="52"/>
      <c r="B407" s="11"/>
      <c r="C407" s="11" t="str">
        <f t="array" ref="C407">IF($B407="","",IFERROR(INDEX(Estimasi!$I$2:$I$1000,MATCH($B407,Estimasi!$H$2:$H$1000,0)),""))</f>
        <v/>
      </c>
      <c r="D407" s="32" t="str">
        <f t="array" ref="D407">IF($C407="","",IFERROR(INDEX(Estimasi!$M$2:$M$1000,MATCH($C407,Estimasi!$L$2:$L$1000,0)),""))</f>
        <v/>
      </c>
      <c r="E407" s="32"/>
      <c r="F407" s="32" t="str">
        <f t="shared" si="4"/>
        <v/>
      </c>
      <c r="G407" s="11" t="str">
        <f t="shared" si="5"/>
        <v/>
      </c>
    </row>
    <row r="408" ht="15.75" customHeight="1">
      <c r="A408" s="52"/>
      <c r="B408" s="11"/>
      <c r="C408" s="11" t="str">
        <f t="array" ref="C408">IF($B408="","",IFERROR(INDEX(Estimasi!$I$2:$I$1000,MATCH($B408,Estimasi!$H$2:$H$1000,0)),""))</f>
        <v/>
      </c>
      <c r="D408" s="32" t="str">
        <f t="array" ref="D408">IF($C408="","",IFERROR(INDEX(Estimasi!$M$2:$M$1000,MATCH($C408,Estimasi!$L$2:$L$1000,0)),""))</f>
        <v/>
      </c>
      <c r="E408" s="32"/>
      <c r="F408" s="32" t="str">
        <f t="shared" si="4"/>
        <v/>
      </c>
      <c r="G408" s="11" t="str">
        <f t="shared" si="5"/>
        <v/>
      </c>
    </row>
    <row r="409" ht="15.75" customHeight="1">
      <c r="A409" s="52"/>
      <c r="B409" s="11"/>
      <c r="C409" s="11" t="str">
        <f t="array" ref="C409">IF($B409="","",IFERROR(INDEX(Estimasi!$I$2:$I$1000,MATCH($B409,Estimasi!$H$2:$H$1000,0)),""))</f>
        <v/>
      </c>
      <c r="D409" s="32" t="str">
        <f t="array" ref="D409">IF($C409="","",IFERROR(INDEX(Estimasi!$M$2:$M$1000,MATCH($C409,Estimasi!$L$2:$L$1000,0)),""))</f>
        <v/>
      </c>
      <c r="E409" s="32"/>
      <c r="F409" s="32" t="str">
        <f t="shared" si="4"/>
        <v/>
      </c>
      <c r="G409" s="11" t="str">
        <f t="shared" si="5"/>
        <v/>
      </c>
    </row>
    <row r="410" ht="15.75" customHeight="1">
      <c r="A410" s="52"/>
      <c r="B410" s="11"/>
      <c r="C410" s="11" t="str">
        <f t="array" ref="C410">IF($B410="","",IFERROR(INDEX(Estimasi!$I$2:$I$1000,MATCH($B410,Estimasi!$H$2:$H$1000,0)),""))</f>
        <v/>
      </c>
      <c r="D410" s="32" t="str">
        <f t="array" ref="D410">IF($C410="","",IFERROR(INDEX(Estimasi!$M$2:$M$1000,MATCH($C410,Estimasi!$L$2:$L$1000,0)),""))</f>
        <v/>
      </c>
      <c r="E410" s="32"/>
      <c r="F410" s="32" t="str">
        <f t="shared" si="4"/>
        <v/>
      </c>
      <c r="G410" s="11" t="str">
        <f t="shared" si="5"/>
        <v/>
      </c>
    </row>
    <row r="411" ht="15.75" customHeight="1">
      <c r="A411" s="52"/>
      <c r="B411" s="11"/>
      <c r="C411" s="11" t="str">
        <f t="array" ref="C411">IF($B411="","",IFERROR(INDEX(Estimasi!$I$2:$I$1000,MATCH($B411,Estimasi!$H$2:$H$1000,0)),""))</f>
        <v/>
      </c>
      <c r="D411" s="32" t="str">
        <f t="array" ref="D411">IF($C411="","",IFERROR(INDEX(Estimasi!$M$2:$M$1000,MATCH($C411,Estimasi!$L$2:$L$1000,0)),""))</f>
        <v/>
      </c>
      <c r="E411" s="32"/>
      <c r="F411" s="32" t="str">
        <f t="shared" si="4"/>
        <v/>
      </c>
      <c r="G411" s="11" t="str">
        <f t="shared" si="5"/>
        <v/>
      </c>
    </row>
    <row r="412" ht="15.75" customHeight="1">
      <c r="A412" s="52"/>
      <c r="B412" s="11"/>
      <c r="C412" s="11" t="str">
        <f t="array" ref="C412">IF($B412="","",IFERROR(INDEX(Estimasi!$I$2:$I$1000,MATCH($B412,Estimasi!$H$2:$H$1000,0)),""))</f>
        <v/>
      </c>
      <c r="D412" s="32" t="str">
        <f t="array" ref="D412">IF($C412="","",IFERROR(INDEX(Estimasi!$M$2:$M$1000,MATCH($C412,Estimasi!$L$2:$L$1000,0)),""))</f>
        <v/>
      </c>
      <c r="E412" s="32"/>
      <c r="F412" s="32" t="str">
        <f t="shared" si="4"/>
        <v/>
      </c>
      <c r="G412" s="11" t="str">
        <f t="shared" si="5"/>
        <v/>
      </c>
    </row>
    <row r="413" ht="15.75" customHeight="1">
      <c r="A413" s="52"/>
      <c r="B413" s="11"/>
      <c r="C413" s="11" t="str">
        <f t="array" ref="C413">IF($B413="","",IFERROR(INDEX(Estimasi!$I$2:$I$1000,MATCH($B413,Estimasi!$H$2:$H$1000,0)),""))</f>
        <v/>
      </c>
      <c r="D413" s="32" t="str">
        <f t="array" ref="D413">IF($C413="","",IFERROR(INDEX(Estimasi!$M$2:$M$1000,MATCH($C413,Estimasi!$L$2:$L$1000,0)),""))</f>
        <v/>
      </c>
      <c r="E413" s="32"/>
      <c r="F413" s="32" t="str">
        <f t="shared" si="4"/>
        <v/>
      </c>
      <c r="G413" s="11" t="str">
        <f t="shared" si="5"/>
        <v/>
      </c>
    </row>
    <row r="414" ht="15.75" customHeight="1">
      <c r="A414" s="52"/>
      <c r="B414" s="11"/>
      <c r="C414" s="11" t="str">
        <f t="array" ref="C414">IF($B414="","",IFERROR(INDEX(Estimasi!$I$2:$I$1000,MATCH($B414,Estimasi!$H$2:$H$1000,0)),""))</f>
        <v/>
      </c>
      <c r="D414" s="32" t="str">
        <f t="array" ref="D414">IF($C414="","",IFERROR(INDEX(Estimasi!$M$2:$M$1000,MATCH($C414,Estimasi!$L$2:$L$1000,0)),""))</f>
        <v/>
      </c>
      <c r="E414" s="32"/>
      <c r="F414" s="32" t="str">
        <f t="shared" si="4"/>
        <v/>
      </c>
      <c r="G414" s="11" t="str">
        <f t="shared" si="5"/>
        <v/>
      </c>
    </row>
    <row r="415" ht="15.75" customHeight="1">
      <c r="A415" s="52"/>
      <c r="B415" s="11"/>
      <c r="C415" s="11" t="str">
        <f t="array" ref="C415">IF($B415="","",IFERROR(INDEX(Estimasi!$I$2:$I$1000,MATCH($B415,Estimasi!$H$2:$H$1000,0)),""))</f>
        <v/>
      </c>
      <c r="D415" s="32" t="str">
        <f t="array" ref="D415">IF($C415="","",IFERROR(INDEX(Estimasi!$M$2:$M$1000,MATCH($C415,Estimasi!$L$2:$L$1000,0)),""))</f>
        <v/>
      </c>
      <c r="E415" s="32"/>
      <c r="F415" s="32" t="str">
        <f t="shared" si="4"/>
        <v/>
      </c>
      <c r="G415" s="11" t="str">
        <f t="shared" si="5"/>
        <v/>
      </c>
    </row>
    <row r="416" ht="15.75" customHeight="1">
      <c r="A416" s="52"/>
      <c r="B416" s="11"/>
      <c r="C416" s="11" t="str">
        <f t="array" ref="C416">IF($B416="","",IFERROR(INDEX(Estimasi!$I$2:$I$1000,MATCH($B416,Estimasi!$H$2:$H$1000,0)),""))</f>
        <v/>
      </c>
      <c r="D416" s="32" t="str">
        <f t="array" ref="D416">IF($C416="","",IFERROR(INDEX(Estimasi!$M$2:$M$1000,MATCH($C416,Estimasi!$L$2:$L$1000,0)),""))</f>
        <v/>
      </c>
      <c r="E416" s="32"/>
      <c r="F416" s="32" t="str">
        <f t="shared" si="4"/>
        <v/>
      </c>
      <c r="G416" s="11" t="str">
        <f t="shared" si="5"/>
        <v/>
      </c>
    </row>
    <row r="417" ht="15.75" customHeight="1">
      <c r="A417" s="52"/>
      <c r="B417" s="11"/>
      <c r="C417" s="11" t="str">
        <f t="array" ref="C417">IF($B417="","",IFERROR(INDEX(Estimasi!$I$2:$I$1000,MATCH($B417,Estimasi!$H$2:$H$1000,0)),""))</f>
        <v/>
      </c>
      <c r="D417" s="32" t="str">
        <f t="array" ref="D417">IF($C417="","",IFERROR(INDEX(Estimasi!$M$2:$M$1000,MATCH($C417,Estimasi!$L$2:$L$1000,0)),""))</f>
        <v/>
      </c>
      <c r="E417" s="32"/>
      <c r="F417" s="32" t="str">
        <f t="shared" si="4"/>
        <v/>
      </c>
      <c r="G417" s="11" t="str">
        <f t="shared" si="5"/>
        <v/>
      </c>
    </row>
    <row r="418" ht="15.75" customHeight="1">
      <c r="A418" s="52"/>
      <c r="B418" s="11"/>
      <c r="C418" s="11" t="str">
        <f t="array" ref="C418">IF($B418="","",IFERROR(INDEX(Estimasi!$I$2:$I$1000,MATCH($B418,Estimasi!$H$2:$H$1000,0)),""))</f>
        <v/>
      </c>
      <c r="D418" s="32" t="str">
        <f t="array" ref="D418">IF($C418="","",IFERROR(INDEX(Estimasi!$M$2:$M$1000,MATCH($C418,Estimasi!$L$2:$L$1000,0)),""))</f>
        <v/>
      </c>
      <c r="E418" s="32"/>
      <c r="F418" s="32" t="str">
        <f t="shared" si="4"/>
        <v/>
      </c>
      <c r="G418" s="11" t="str">
        <f t="shared" si="5"/>
        <v/>
      </c>
    </row>
    <row r="419" ht="15.75" customHeight="1">
      <c r="A419" s="52"/>
      <c r="B419" s="11"/>
      <c r="C419" s="11" t="str">
        <f t="array" ref="C419">IF($B419="","",IFERROR(INDEX(Estimasi!$I$2:$I$1000,MATCH($B419,Estimasi!$H$2:$H$1000,0)),""))</f>
        <v/>
      </c>
      <c r="D419" s="32" t="str">
        <f t="array" ref="D419">IF($C419="","",IFERROR(INDEX(Estimasi!$M$2:$M$1000,MATCH($C419,Estimasi!$L$2:$L$1000,0)),""))</f>
        <v/>
      </c>
      <c r="E419" s="32"/>
      <c r="F419" s="32" t="str">
        <f t="shared" si="4"/>
        <v/>
      </c>
      <c r="G419" s="11" t="str">
        <f t="shared" si="5"/>
        <v/>
      </c>
    </row>
    <row r="420" ht="15.75" customHeight="1">
      <c r="A420" s="52"/>
      <c r="B420" s="11"/>
      <c r="C420" s="11" t="str">
        <f t="array" ref="C420">IF($B420="","",IFERROR(INDEX(Estimasi!$I$2:$I$1000,MATCH($B420,Estimasi!$H$2:$H$1000,0)),""))</f>
        <v/>
      </c>
      <c r="D420" s="32" t="str">
        <f t="array" ref="D420">IF($C420="","",IFERROR(INDEX(Estimasi!$M$2:$M$1000,MATCH($C420,Estimasi!$L$2:$L$1000,0)),""))</f>
        <v/>
      </c>
      <c r="E420" s="32"/>
      <c r="F420" s="32" t="str">
        <f t="shared" si="4"/>
        <v/>
      </c>
      <c r="G420" s="11" t="str">
        <f t="shared" si="5"/>
        <v/>
      </c>
    </row>
    <row r="421" ht="15.75" customHeight="1">
      <c r="A421" s="52"/>
      <c r="B421" s="11"/>
      <c r="C421" s="11" t="str">
        <f t="array" ref="C421">IF($B421="","",IFERROR(INDEX(Estimasi!$I$2:$I$1000,MATCH($B421,Estimasi!$H$2:$H$1000,0)),""))</f>
        <v/>
      </c>
      <c r="D421" s="32" t="str">
        <f t="array" ref="D421">IF($C421="","",IFERROR(INDEX(Estimasi!$M$2:$M$1000,MATCH($C421,Estimasi!$L$2:$L$1000,0)),""))</f>
        <v/>
      </c>
      <c r="E421" s="32"/>
      <c r="F421" s="32" t="str">
        <f t="shared" si="4"/>
        <v/>
      </c>
      <c r="G421" s="11" t="str">
        <f t="shared" si="5"/>
        <v/>
      </c>
    </row>
    <row r="422" ht="15.75" customHeight="1">
      <c r="A422" s="52"/>
      <c r="B422" s="11"/>
      <c r="C422" s="11" t="str">
        <f t="array" ref="C422">IF($B422="","",IFERROR(INDEX(Estimasi!$I$2:$I$1000,MATCH($B422,Estimasi!$H$2:$H$1000,0)),""))</f>
        <v/>
      </c>
      <c r="D422" s="32" t="str">
        <f t="array" ref="D422">IF($C422="","",IFERROR(INDEX(Estimasi!$M$2:$M$1000,MATCH($C422,Estimasi!$L$2:$L$1000,0)),""))</f>
        <v/>
      </c>
      <c r="E422" s="32"/>
      <c r="F422" s="32" t="str">
        <f t="shared" si="4"/>
        <v/>
      </c>
      <c r="G422" s="11" t="str">
        <f t="shared" si="5"/>
        <v/>
      </c>
    </row>
    <row r="423" ht="15.75" customHeight="1">
      <c r="A423" s="52"/>
      <c r="B423" s="11"/>
      <c r="C423" s="11" t="str">
        <f t="array" ref="C423">IF($B423="","",IFERROR(INDEX(Estimasi!$I$2:$I$1000,MATCH($B423,Estimasi!$H$2:$H$1000,0)),""))</f>
        <v/>
      </c>
      <c r="D423" s="32" t="str">
        <f t="array" ref="D423">IF($C423="","",IFERROR(INDEX(Estimasi!$M$2:$M$1000,MATCH($C423,Estimasi!$L$2:$L$1000,0)),""))</f>
        <v/>
      </c>
      <c r="E423" s="32"/>
      <c r="F423" s="32" t="str">
        <f t="shared" si="4"/>
        <v/>
      </c>
      <c r="G423" s="11" t="str">
        <f t="shared" si="5"/>
        <v/>
      </c>
    </row>
    <row r="424" ht="15.75" customHeight="1">
      <c r="A424" s="52"/>
      <c r="B424" s="11"/>
      <c r="C424" s="11" t="str">
        <f t="array" ref="C424">IF($B424="","",IFERROR(INDEX(Estimasi!$I$2:$I$1000,MATCH($B424,Estimasi!$H$2:$H$1000,0)),""))</f>
        <v/>
      </c>
      <c r="D424" s="32" t="str">
        <f t="array" ref="D424">IF($C424="","",IFERROR(INDEX(Estimasi!$M$2:$M$1000,MATCH($C424,Estimasi!$L$2:$L$1000,0)),""))</f>
        <v/>
      </c>
      <c r="E424" s="32"/>
      <c r="F424" s="32" t="str">
        <f t="shared" si="4"/>
        <v/>
      </c>
      <c r="G424" s="11" t="str">
        <f t="shared" si="5"/>
        <v/>
      </c>
    </row>
    <row r="425" ht="15.75" customHeight="1">
      <c r="A425" s="52"/>
      <c r="B425" s="11"/>
      <c r="C425" s="11" t="str">
        <f t="array" ref="C425">IF($B425="","",IFERROR(INDEX(Estimasi!$I$2:$I$1000,MATCH($B425,Estimasi!$H$2:$H$1000,0)),""))</f>
        <v/>
      </c>
      <c r="D425" s="32" t="str">
        <f t="array" ref="D425">IF($C425="","",IFERROR(INDEX(Estimasi!$M$2:$M$1000,MATCH($C425,Estimasi!$L$2:$L$1000,0)),""))</f>
        <v/>
      </c>
      <c r="E425" s="32"/>
      <c r="F425" s="32" t="str">
        <f t="shared" si="4"/>
        <v/>
      </c>
      <c r="G425" s="11" t="str">
        <f t="shared" si="5"/>
        <v/>
      </c>
    </row>
    <row r="426" ht="15.75" customHeight="1">
      <c r="A426" s="52"/>
      <c r="B426" s="11"/>
      <c r="C426" s="11" t="str">
        <f t="array" ref="C426">IF($B426="","",IFERROR(INDEX(Estimasi!$I$2:$I$1000,MATCH($B426,Estimasi!$H$2:$H$1000,0)),""))</f>
        <v/>
      </c>
      <c r="D426" s="32" t="str">
        <f t="array" ref="D426">IF($C426="","",IFERROR(INDEX(Estimasi!$M$2:$M$1000,MATCH($C426,Estimasi!$L$2:$L$1000,0)),""))</f>
        <v/>
      </c>
      <c r="E426" s="32"/>
      <c r="F426" s="32" t="str">
        <f t="shared" si="4"/>
        <v/>
      </c>
      <c r="G426" s="11" t="str">
        <f t="shared" si="5"/>
        <v/>
      </c>
    </row>
    <row r="427" ht="15.75" customHeight="1">
      <c r="A427" s="52"/>
      <c r="B427" s="11"/>
      <c r="C427" s="11" t="str">
        <f t="array" ref="C427">IF($B427="","",IFERROR(INDEX(Estimasi!$I$2:$I$1000,MATCH($B427,Estimasi!$H$2:$H$1000,0)),""))</f>
        <v/>
      </c>
      <c r="D427" s="32" t="str">
        <f t="array" ref="D427">IF($C427="","",IFERROR(INDEX(Estimasi!$M$2:$M$1000,MATCH($C427,Estimasi!$L$2:$L$1000,0)),""))</f>
        <v/>
      </c>
      <c r="E427" s="32"/>
      <c r="F427" s="32" t="str">
        <f t="shared" si="4"/>
        <v/>
      </c>
      <c r="G427" s="11" t="str">
        <f t="shared" si="5"/>
        <v/>
      </c>
    </row>
    <row r="428" ht="15.75" customHeight="1">
      <c r="A428" s="52"/>
      <c r="B428" s="11"/>
      <c r="C428" s="11" t="str">
        <f t="array" ref="C428">IF($B428="","",IFERROR(INDEX(Estimasi!$I$2:$I$1000,MATCH($B428,Estimasi!$H$2:$H$1000,0)),""))</f>
        <v/>
      </c>
      <c r="D428" s="32" t="str">
        <f t="array" ref="D428">IF($C428="","",IFERROR(INDEX(Estimasi!$M$2:$M$1000,MATCH($C428,Estimasi!$L$2:$L$1000,0)),""))</f>
        <v/>
      </c>
      <c r="E428" s="32"/>
      <c r="F428" s="32" t="str">
        <f t="shared" si="4"/>
        <v/>
      </c>
      <c r="G428" s="11" t="str">
        <f t="shared" si="5"/>
        <v/>
      </c>
    </row>
    <row r="429" ht="15.75" customHeight="1">
      <c r="A429" s="52"/>
      <c r="B429" s="11"/>
      <c r="C429" s="11" t="str">
        <f t="array" ref="C429">IF($B429="","",IFERROR(INDEX(Estimasi!$I$2:$I$1000,MATCH($B429,Estimasi!$H$2:$H$1000,0)),""))</f>
        <v/>
      </c>
      <c r="D429" s="32" t="str">
        <f t="array" ref="D429">IF($C429="","",IFERROR(INDEX(Estimasi!$M$2:$M$1000,MATCH($C429,Estimasi!$L$2:$L$1000,0)),""))</f>
        <v/>
      </c>
      <c r="E429" s="32"/>
      <c r="F429" s="32" t="str">
        <f t="shared" si="4"/>
        <v/>
      </c>
      <c r="G429" s="11" t="str">
        <f t="shared" si="5"/>
        <v/>
      </c>
    </row>
    <row r="430" ht="15.75" customHeight="1">
      <c r="A430" s="52"/>
      <c r="B430" s="11"/>
      <c r="C430" s="11" t="str">
        <f t="array" ref="C430">IF($B430="","",IFERROR(INDEX(Estimasi!$I$2:$I$1000,MATCH($B430,Estimasi!$H$2:$H$1000,0)),""))</f>
        <v/>
      </c>
      <c r="D430" s="32" t="str">
        <f t="array" ref="D430">IF($C430="","",IFERROR(INDEX(Estimasi!$M$2:$M$1000,MATCH($C430,Estimasi!$L$2:$L$1000,0)),""))</f>
        <v/>
      </c>
      <c r="E430" s="32"/>
      <c r="F430" s="32" t="str">
        <f t="shared" si="4"/>
        <v/>
      </c>
      <c r="G430" s="11" t="str">
        <f t="shared" si="5"/>
        <v/>
      </c>
    </row>
    <row r="431" ht="15.75" customHeight="1">
      <c r="A431" s="52"/>
      <c r="B431" s="11"/>
      <c r="C431" s="11" t="str">
        <f t="array" ref="C431">IF($B431="","",IFERROR(INDEX(Estimasi!$I$2:$I$1000,MATCH($B431,Estimasi!$H$2:$H$1000,0)),""))</f>
        <v/>
      </c>
      <c r="D431" s="32" t="str">
        <f t="array" ref="D431">IF($C431="","",IFERROR(INDEX(Estimasi!$M$2:$M$1000,MATCH($C431,Estimasi!$L$2:$L$1000,0)),""))</f>
        <v/>
      </c>
      <c r="E431" s="32"/>
      <c r="F431" s="32" t="str">
        <f t="shared" si="4"/>
        <v/>
      </c>
      <c r="G431" s="11" t="str">
        <f t="shared" si="5"/>
        <v/>
      </c>
    </row>
    <row r="432" ht="15.75" customHeight="1">
      <c r="A432" s="52"/>
      <c r="B432" s="11"/>
      <c r="C432" s="11" t="str">
        <f t="array" ref="C432">IF($B432="","",IFERROR(INDEX(Estimasi!$I$2:$I$1000,MATCH($B432,Estimasi!$H$2:$H$1000,0)),""))</f>
        <v/>
      </c>
      <c r="D432" s="32" t="str">
        <f t="array" ref="D432">IF($C432="","",IFERROR(INDEX(Estimasi!$M$2:$M$1000,MATCH($C432,Estimasi!$L$2:$L$1000,0)),""))</f>
        <v/>
      </c>
      <c r="E432" s="32"/>
      <c r="F432" s="32" t="str">
        <f t="shared" si="4"/>
        <v/>
      </c>
      <c r="G432" s="11" t="str">
        <f t="shared" si="5"/>
        <v/>
      </c>
    </row>
    <row r="433" ht="15.75" customHeight="1">
      <c r="A433" s="52"/>
      <c r="B433" s="11"/>
      <c r="C433" s="11" t="str">
        <f t="array" ref="C433">IF($B433="","",IFERROR(INDEX(Estimasi!$I$2:$I$1000,MATCH($B433,Estimasi!$H$2:$H$1000,0)),""))</f>
        <v/>
      </c>
      <c r="D433" s="32" t="str">
        <f t="array" ref="D433">IF($C433="","",IFERROR(INDEX(Estimasi!$M$2:$M$1000,MATCH($C433,Estimasi!$L$2:$L$1000,0)),""))</f>
        <v/>
      </c>
      <c r="E433" s="32"/>
      <c r="F433" s="32" t="str">
        <f t="shared" si="4"/>
        <v/>
      </c>
      <c r="G433" s="11" t="str">
        <f t="shared" si="5"/>
        <v/>
      </c>
    </row>
    <row r="434" ht="15.75" customHeight="1">
      <c r="A434" s="52"/>
      <c r="B434" s="11"/>
      <c r="C434" s="11" t="str">
        <f t="array" ref="C434">IF($B434="","",IFERROR(INDEX(Estimasi!$I$2:$I$1000,MATCH($B434,Estimasi!$H$2:$H$1000,0)),""))</f>
        <v/>
      </c>
      <c r="D434" s="32" t="str">
        <f t="array" ref="D434">IF($C434="","",IFERROR(INDEX(Estimasi!$M$2:$M$1000,MATCH($C434,Estimasi!$L$2:$L$1000,0)),""))</f>
        <v/>
      </c>
      <c r="E434" s="32"/>
      <c r="F434" s="32" t="str">
        <f t="shared" si="4"/>
        <v/>
      </c>
      <c r="G434" s="11" t="str">
        <f t="shared" si="5"/>
        <v/>
      </c>
    </row>
    <row r="435" ht="15.75" customHeight="1">
      <c r="A435" s="52"/>
      <c r="B435" s="11"/>
      <c r="C435" s="11" t="str">
        <f t="array" ref="C435">IF($B435="","",IFERROR(INDEX(Estimasi!$I$2:$I$1000,MATCH($B435,Estimasi!$H$2:$H$1000,0)),""))</f>
        <v/>
      </c>
      <c r="D435" s="32" t="str">
        <f t="array" ref="D435">IF($C435="","",IFERROR(INDEX(Estimasi!$M$2:$M$1000,MATCH($C435,Estimasi!$L$2:$L$1000,0)),""))</f>
        <v/>
      </c>
      <c r="E435" s="32"/>
      <c r="F435" s="32" t="str">
        <f t="shared" si="4"/>
        <v/>
      </c>
      <c r="G435" s="11" t="str">
        <f t="shared" si="5"/>
        <v/>
      </c>
    </row>
    <row r="436" ht="15.75" customHeight="1">
      <c r="A436" s="52"/>
      <c r="B436" s="11"/>
      <c r="C436" s="11" t="str">
        <f t="array" ref="C436">IF($B436="","",IFERROR(INDEX(Estimasi!$I$2:$I$1000,MATCH($B436,Estimasi!$H$2:$H$1000,0)),""))</f>
        <v/>
      </c>
      <c r="D436" s="32" t="str">
        <f t="array" ref="D436">IF($C436="","",IFERROR(INDEX(Estimasi!$M$2:$M$1000,MATCH($C436,Estimasi!$L$2:$L$1000,0)),""))</f>
        <v/>
      </c>
      <c r="E436" s="32"/>
      <c r="F436" s="32" t="str">
        <f t="shared" si="4"/>
        <v/>
      </c>
      <c r="G436" s="11" t="str">
        <f t="shared" si="5"/>
        <v/>
      </c>
    </row>
    <row r="437" ht="15.75" customHeight="1">
      <c r="A437" s="52"/>
      <c r="B437" s="11"/>
      <c r="C437" s="11" t="str">
        <f t="array" ref="C437">IF($B437="","",IFERROR(INDEX(Estimasi!$I$2:$I$1000,MATCH($B437,Estimasi!$H$2:$H$1000,0)),""))</f>
        <v/>
      </c>
      <c r="D437" s="32" t="str">
        <f t="array" ref="D437">IF($C437="","",IFERROR(INDEX(Estimasi!$M$2:$M$1000,MATCH($C437,Estimasi!$L$2:$L$1000,0)),""))</f>
        <v/>
      </c>
      <c r="E437" s="32"/>
      <c r="F437" s="32" t="str">
        <f t="shared" si="4"/>
        <v/>
      </c>
      <c r="G437" s="11" t="str">
        <f t="shared" si="5"/>
        <v/>
      </c>
    </row>
    <row r="438" ht="15.75" customHeight="1">
      <c r="A438" s="52"/>
      <c r="B438" s="11"/>
      <c r="C438" s="11" t="str">
        <f t="array" ref="C438">IF($B438="","",IFERROR(INDEX(Estimasi!$I$2:$I$1000,MATCH($B438,Estimasi!$H$2:$H$1000,0)),""))</f>
        <v/>
      </c>
      <c r="D438" s="32" t="str">
        <f t="array" ref="D438">IF($C438="","",IFERROR(INDEX(Estimasi!$M$2:$M$1000,MATCH($C438,Estimasi!$L$2:$L$1000,0)),""))</f>
        <v/>
      </c>
      <c r="E438" s="32"/>
      <c r="F438" s="32" t="str">
        <f t="shared" si="4"/>
        <v/>
      </c>
      <c r="G438" s="11" t="str">
        <f t="shared" si="5"/>
        <v/>
      </c>
    </row>
    <row r="439" ht="15.75" customHeight="1">
      <c r="A439" s="52"/>
      <c r="B439" s="11"/>
      <c r="C439" s="11" t="str">
        <f t="array" ref="C439">IF($B439="","",IFERROR(INDEX(Estimasi!$I$2:$I$1000,MATCH($B439,Estimasi!$H$2:$H$1000,0)),""))</f>
        <v/>
      </c>
      <c r="D439" s="32" t="str">
        <f t="array" ref="D439">IF($C439="","",IFERROR(INDEX(Estimasi!$M$2:$M$1000,MATCH($C439,Estimasi!$L$2:$L$1000,0)),""))</f>
        <v/>
      </c>
      <c r="E439" s="32"/>
      <c r="F439" s="32" t="str">
        <f t="shared" si="4"/>
        <v/>
      </c>
      <c r="G439" s="11" t="str">
        <f t="shared" si="5"/>
        <v/>
      </c>
    </row>
    <row r="440" ht="15.75" customHeight="1">
      <c r="A440" s="52"/>
      <c r="B440" s="11"/>
      <c r="C440" s="11" t="str">
        <f t="array" ref="C440">IF($B440="","",IFERROR(INDEX(Estimasi!$I$2:$I$1000,MATCH($B440,Estimasi!$H$2:$H$1000,0)),""))</f>
        <v/>
      </c>
      <c r="D440" s="32" t="str">
        <f t="array" ref="D440">IF($C440="","",IFERROR(INDEX(Estimasi!$M$2:$M$1000,MATCH($C440,Estimasi!$L$2:$L$1000,0)),""))</f>
        <v/>
      </c>
      <c r="E440" s="32"/>
      <c r="F440" s="32" t="str">
        <f t="shared" si="4"/>
        <v/>
      </c>
      <c r="G440" s="11" t="str">
        <f t="shared" si="5"/>
        <v/>
      </c>
    </row>
    <row r="441" ht="15.75" customHeight="1">
      <c r="A441" s="52"/>
      <c r="B441" s="11"/>
      <c r="C441" s="11" t="str">
        <f t="array" ref="C441">IF($B441="","",IFERROR(INDEX(Estimasi!$I$2:$I$1000,MATCH($B441,Estimasi!$H$2:$H$1000,0)),""))</f>
        <v/>
      </c>
      <c r="D441" s="32" t="str">
        <f t="array" ref="D441">IF($C441="","",IFERROR(INDEX(Estimasi!$M$2:$M$1000,MATCH($C441,Estimasi!$L$2:$L$1000,0)),""))</f>
        <v/>
      </c>
      <c r="E441" s="32"/>
      <c r="F441" s="32" t="str">
        <f t="shared" si="4"/>
        <v/>
      </c>
      <c r="G441" s="11" t="str">
        <f t="shared" si="5"/>
        <v/>
      </c>
    </row>
    <row r="442" ht="15.75" customHeight="1">
      <c r="A442" s="52"/>
      <c r="B442" s="11"/>
      <c r="C442" s="11" t="str">
        <f t="array" ref="C442">IF($B442="","",IFERROR(INDEX(Estimasi!$I$2:$I$1000,MATCH($B442,Estimasi!$H$2:$H$1000,0)),""))</f>
        <v/>
      </c>
      <c r="D442" s="32" t="str">
        <f t="array" ref="D442">IF($C442="","",IFERROR(INDEX(Estimasi!$M$2:$M$1000,MATCH($C442,Estimasi!$L$2:$L$1000,0)),""))</f>
        <v/>
      </c>
      <c r="E442" s="32"/>
      <c r="F442" s="32" t="str">
        <f t="shared" si="4"/>
        <v/>
      </c>
      <c r="G442" s="11" t="str">
        <f t="shared" si="5"/>
        <v/>
      </c>
    </row>
    <row r="443" ht="15.75" customHeight="1">
      <c r="A443" s="52"/>
      <c r="B443" s="11"/>
      <c r="C443" s="11" t="str">
        <f t="array" ref="C443">IF($B443="","",IFERROR(INDEX(Estimasi!$I$2:$I$1000,MATCH($B443,Estimasi!$H$2:$H$1000,0)),""))</f>
        <v/>
      </c>
      <c r="D443" s="32" t="str">
        <f t="array" ref="D443">IF($C443="","",IFERROR(INDEX(Estimasi!$M$2:$M$1000,MATCH($C443,Estimasi!$L$2:$L$1000,0)),""))</f>
        <v/>
      </c>
      <c r="E443" s="32"/>
      <c r="F443" s="32" t="str">
        <f t="shared" si="4"/>
        <v/>
      </c>
      <c r="G443" s="11" t="str">
        <f t="shared" si="5"/>
        <v/>
      </c>
    </row>
    <row r="444" ht="15.75" customHeight="1">
      <c r="A444" s="52"/>
      <c r="B444" s="11"/>
      <c r="C444" s="11" t="str">
        <f t="array" ref="C444">IF($B444="","",IFERROR(INDEX(Estimasi!$I$2:$I$1000,MATCH($B444,Estimasi!$H$2:$H$1000,0)),""))</f>
        <v/>
      </c>
      <c r="D444" s="32" t="str">
        <f t="array" ref="D444">IF($C444="","",IFERROR(INDEX(Estimasi!$M$2:$M$1000,MATCH($C444,Estimasi!$L$2:$L$1000,0)),""))</f>
        <v/>
      </c>
      <c r="E444" s="32"/>
      <c r="F444" s="32" t="str">
        <f t="shared" si="4"/>
        <v/>
      </c>
      <c r="G444" s="11" t="str">
        <f t="shared" si="5"/>
        <v/>
      </c>
    </row>
    <row r="445" ht="15.75" customHeight="1">
      <c r="A445" s="52"/>
      <c r="B445" s="11"/>
      <c r="C445" s="11" t="str">
        <f t="array" ref="C445">IF($B445="","",IFERROR(INDEX(Estimasi!$I$2:$I$1000,MATCH($B445,Estimasi!$H$2:$H$1000,0)),""))</f>
        <v/>
      </c>
      <c r="D445" s="32" t="str">
        <f t="array" ref="D445">IF($C445="","",IFERROR(INDEX(Estimasi!$M$2:$M$1000,MATCH($C445,Estimasi!$L$2:$L$1000,0)),""))</f>
        <v/>
      </c>
      <c r="E445" s="32"/>
      <c r="F445" s="32" t="str">
        <f t="shared" si="4"/>
        <v/>
      </c>
      <c r="G445" s="11" t="str">
        <f t="shared" si="5"/>
        <v/>
      </c>
    </row>
    <row r="446" ht="15.75" customHeight="1">
      <c r="A446" s="52"/>
      <c r="B446" s="11"/>
      <c r="C446" s="11" t="str">
        <f t="array" ref="C446">IF($B446="","",IFERROR(INDEX(Estimasi!$I$2:$I$1000,MATCH($B446,Estimasi!$H$2:$H$1000,0)),""))</f>
        <v/>
      </c>
      <c r="D446" s="32" t="str">
        <f t="array" ref="D446">IF($C446="","",IFERROR(INDEX(Estimasi!$M$2:$M$1000,MATCH($C446,Estimasi!$L$2:$L$1000,0)),""))</f>
        <v/>
      </c>
      <c r="E446" s="32"/>
      <c r="F446" s="32" t="str">
        <f t="shared" si="4"/>
        <v/>
      </c>
      <c r="G446" s="11" t="str">
        <f t="shared" si="5"/>
        <v/>
      </c>
    </row>
    <row r="447" ht="15.75" customHeight="1">
      <c r="A447" s="52"/>
      <c r="B447" s="11"/>
      <c r="C447" s="11" t="str">
        <f t="array" ref="C447">IF($B447="","",IFERROR(INDEX(Estimasi!$I$2:$I$1000,MATCH($B447,Estimasi!$H$2:$H$1000,0)),""))</f>
        <v/>
      </c>
      <c r="D447" s="32" t="str">
        <f t="array" ref="D447">IF($C447="","",IFERROR(INDEX(Estimasi!$M$2:$M$1000,MATCH($C447,Estimasi!$L$2:$L$1000,0)),""))</f>
        <v/>
      </c>
      <c r="E447" s="32"/>
      <c r="F447" s="32" t="str">
        <f t="shared" si="4"/>
        <v/>
      </c>
      <c r="G447" s="11" t="str">
        <f t="shared" si="5"/>
        <v/>
      </c>
    </row>
    <row r="448" ht="15.75" customHeight="1">
      <c r="A448" s="52"/>
      <c r="B448" s="11"/>
      <c r="C448" s="11" t="str">
        <f t="array" ref="C448">IF($B448="","",IFERROR(INDEX(Estimasi!$I$2:$I$1000,MATCH($B448,Estimasi!$H$2:$H$1000,0)),""))</f>
        <v/>
      </c>
      <c r="D448" s="32" t="str">
        <f t="array" ref="D448">IF($C448="","",IFERROR(INDEX(Estimasi!$M$2:$M$1000,MATCH($C448,Estimasi!$L$2:$L$1000,0)),""))</f>
        <v/>
      </c>
      <c r="E448" s="32"/>
      <c r="F448" s="32" t="str">
        <f t="shared" si="4"/>
        <v/>
      </c>
      <c r="G448" s="11" t="str">
        <f t="shared" si="5"/>
        <v/>
      </c>
    </row>
    <row r="449" ht="15.75" customHeight="1">
      <c r="A449" s="52"/>
      <c r="B449" s="11"/>
      <c r="C449" s="11" t="str">
        <f t="array" ref="C449">IF($B449="","",IFERROR(INDEX(Estimasi!$I$2:$I$1000,MATCH($B449,Estimasi!$H$2:$H$1000,0)),""))</f>
        <v/>
      </c>
      <c r="D449" s="32" t="str">
        <f t="array" ref="D449">IF($C449="","",IFERROR(INDEX(Estimasi!$M$2:$M$1000,MATCH($C449,Estimasi!$L$2:$L$1000,0)),""))</f>
        <v/>
      </c>
      <c r="E449" s="32"/>
      <c r="F449" s="32" t="str">
        <f t="shared" si="4"/>
        <v/>
      </c>
      <c r="G449" s="11" t="str">
        <f t="shared" si="5"/>
        <v/>
      </c>
    </row>
    <row r="450" ht="15.75" customHeight="1">
      <c r="A450" s="52"/>
      <c r="B450" s="11"/>
      <c r="C450" s="11" t="str">
        <f t="array" ref="C450">IF($B450="","",IFERROR(INDEX(Estimasi!$I$2:$I$1000,MATCH($B450,Estimasi!$H$2:$H$1000,0)),""))</f>
        <v/>
      </c>
      <c r="D450" s="32" t="str">
        <f t="array" ref="D450">IF($C450="","",IFERROR(INDEX(Estimasi!$M$2:$M$1000,MATCH($C450,Estimasi!$L$2:$L$1000,0)),""))</f>
        <v/>
      </c>
      <c r="E450" s="32"/>
      <c r="F450" s="32" t="str">
        <f t="shared" si="4"/>
        <v/>
      </c>
      <c r="G450" s="11" t="str">
        <f t="shared" si="5"/>
        <v/>
      </c>
    </row>
    <row r="451" ht="15.75" customHeight="1">
      <c r="A451" s="52"/>
      <c r="B451" s="11"/>
      <c r="C451" s="11" t="str">
        <f t="array" ref="C451">IF($B451="","",IFERROR(INDEX(Estimasi!$I$2:$I$1000,MATCH($B451,Estimasi!$H$2:$H$1000,0)),""))</f>
        <v/>
      </c>
      <c r="D451" s="32" t="str">
        <f t="array" ref="D451">IF($C451="","",IFERROR(INDEX(Estimasi!$M$2:$M$1000,MATCH($C451,Estimasi!$L$2:$L$1000,0)),""))</f>
        <v/>
      </c>
      <c r="E451" s="32"/>
      <c r="F451" s="32" t="str">
        <f t="shared" si="4"/>
        <v/>
      </c>
      <c r="G451" s="11" t="str">
        <f t="shared" si="5"/>
        <v/>
      </c>
    </row>
    <row r="452" ht="15.75" customHeight="1">
      <c r="A452" s="52"/>
      <c r="B452" s="11"/>
      <c r="C452" s="11" t="str">
        <f t="array" ref="C452">IF($B452="","",IFERROR(INDEX(Estimasi!$I$2:$I$1000,MATCH($B452,Estimasi!$H$2:$H$1000,0)),""))</f>
        <v/>
      </c>
      <c r="D452" s="32" t="str">
        <f t="array" ref="D452">IF($C452="","",IFERROR(INDEX(Estimasi!$M$2:$M$1000,MATCH($C452,Estimasi!$L$2:$L$1000,0)),""))</f>
        <v/>
      </c>
      <c r="E452" s="32"/>
      <c r="F452" s="32" t="str">
        <f t="shared" si="4"/>
        <v/>
      </c>
      <c r="G452" s="11" t="str">
        <f t="shared" si="5"/>
        <v/>
      </c>
    </row>
    <row r="453" ht="15.75" customHeight="1">
      <c r="A453" s="52"/>
      <c r="B453" s="11"/>
      <c r="C453" s="11" t="str">
        <f t="array" ref="C453">IF($B453="","",IFERROR(INDEX(Estimasi!$I$2:$I$1000,MATCH($B453,Estimasi!$H$2:$H$1000,0)),""))</f>
        <v/>
      </c>
      <c r="D453" s="32" t="str">
        <f t="array" ref="D453">IF($C453="","",IFERROR(INDEX(Estimasi!$M$2:$M$1000,MATCH($C453,Estimasi!$L$2:$L$1000,0)),""))</f>
        <v/>
      </c>
      <c r="E453" s="32"/>
      <c r="F453" s="32" t="str">
        <f t="shared" si="4"/>
        <v/>
      </c>
      <c r="G453" s="11" t="str">
        <f t="shared" si="5"/>
        <v/>
      </c>
    </row>
    <row r="454" ht="15.75" customHeight="1">
      <c r="A454" s="52"/>
      <c r="B454" s="11"/>
      <c r="C454" s="11" t="str">
        <f t="array" ref="C454">IF($B454="","",IFERROR(INDEX(Estimasi!$I$2:$I$1000,MATCH($B454,Estimasi!$H$2:$H$1000,0)),""))</f>
        <v/>
      </c>
      <c r="D454" s="32" t="str">
        <f t="array" ref="D454">IF($C454="","",IFERROR(INDEX(Estimasi!$M$2:$M$1000,MATCH($C454,Estimasi!$L$2:$L$1000,0)),""))</f>
        <v/>
      </c>
      <c r="E454" s="32"/>
      <c r="F454" s="32" t="str">
        <f t="shared" si="4"/>
        <v/>
      </c>
      <c r="G454" s="11" t="str">
        <f t="shared" si="5"/>
        <v/>
      </c>
    </row>
    <row r="455" ht="15.75" customHeight="1">
      <c r="A455" s="52"/>
      <c r="B455" s="11"/>
      <c r="C455" s="11" t="str">
        <f t="array" ref="C455">IF($B455="","",IFERROR(INDEX(Estimasi!$I$2:$I$1000,MATCH($B455,Estimasi!$H$2:$H$1000,0)),""))</f>
        <v/>
      </c>
      <c r="D455" s="32" t="str">
        <f t="array" ref="D455">IF($C455="","",IFERROR(INDEX(Estimasi!$M$2:$M$1000,MATCH($C455,Estimasi!$L$2:$L$1000,0)),""))</f>
        <v/>
      </c>
      <c r="E455" s="32"/>
      <c r="F455" s="32" t="str">
        <f t="shared" si="4"/>
        <v/>
      </c>
      <c r="G455" s="11" t="str">
        <f t="shared" si="5"/>
        <v/>
      </c>
    </row>
    <row r="456" ht="15.75" customHeight="1">
      <c r="A456" s="52"/>
      <c r="B456" s="11"/>
      <c r="C456" s="11" t="str">
        <f t="array" ref="C456">IF($B456="","",IFERROR(INDEX(Estimasi!$I$2:$I$1000,MATCH($B456,Estimasi!$H$2:$H$1000,0)),""))</f>
        <v/>
      </c>
      <c r="D456" s="32" t="str">
        <f t="array" ref="D456">IF($C456="","",IFERROR(INDEX(Estimasi!$M$2:$M$1000,MATCH($C456,Estimasi!$L$2:$L$1000,0)),""))</f>
        <v/>
      </c>
      <c r="E456" s="32"/>
      <c r="F456" s="32" t="str">
        <f t="shared" si="4"/>
        <v/>
      </c>
      <c r="G456" s="11" t="str">
        <f t="shared" si="5"/>
        <v/>
      </c>
    </row>
    <row r="457" ht="15.75" customHeight="1">
      <c r="A457" s="52"/>
      <c r="B457" s="11"/>
      <c r="C457" s="11" t="str">
        <f t="array" ref="C457">IF($B457="","",IFERROR(INDEX(Estimasi!$I$2:$I$1000,MATCH($B457,Estimasi!$H$2:$H$1000,0)),""))</f>
        <v/>
      </c>
      <c r="D457" s="32" t="str">
        <f t="array" ref="D457">IF($C457="","",IFERROR(INDEX(Estimasi!$M$2:$M$1000,MATCH($C457,Estimasi!$L$2:$L$1000,0)),""))</f>
        <v/>
      </c>
      <c r="E457" s="32"/>
      <c r="F457" s="32" t="str">
        <f t="shared" si="4"/>
        <v/>
      </c>
      <c r="G457" s="11" t="str">
        <f t="shared" si="5"/>
        <v/>
      </c>
    </row>
    <row r="458" ht="15.75" customHeight="1">
      <c r="A458" s="52"/>
      <c r="B458" s="11"/>
      <c r="C458" s="11" t="str">
        <f t="array" ref="C458">IF($B458="","",IFERROR(INDEX(Estimasi!$I$2:$I$1000,MATCH($B458,Estimasi!$H$2:$H$1000,0)),""))</f>
        <v/>
      </c>
      <c r="D458" s="32" t="str">
        <f t="array" ref="D458">IF($C458="","",IFERROR(INDEX(Estimasi!$M$2:$M$1000,MATCH($C458,Estimasi!$L$2:$L$1000,0)),""))</f>
        <v/>
      </c>
      <c r="E458" s="32"/>
      <c r="F458" s="32" t="str">
        <f t="shared" si="4"/>
        <v/>
      </c>
      <c r="G458" s="11" t="str">
        <f t="shared" si="5"/>
        <v/>
      </c>
    </row>
    <row r="459" ht="15.75" customHeight="1">
      <c r="A459" s="52"/>
      <c r="B459" s="11"/>
      <c r="C459" s="11" t="str">
        <f t="array" ref="C459">IF($B459="","",IFERROR(INDEX(Estimasi!$I$2:$I$1000,MATCH($B459,Estimasi!$H$2:$H$1000,0)),""))</f>
        <v/>
      </c>
      <c r="D459" s="32" t="str">
        <f t="array" ref="D459">IF($C459="","",IFERROR(INDEX(Estimasi!$M$2:$M$1000,MATCH($C459,Estimasi!$L$2:$L$1000,0)),""))</f>
        <v/>
      </c>
      <c r="E459" s="32"/>
      <c r="F459" s="32" t="str">
        <f t="shared" si="4"/>
        <v/>
      </c>
      <c r="G459" s="11" t="str">
        <f t="shared" si="5"/>
        <v/>
      </c>
    </row>
    <row r="460" ht="15.75" customHeight="1">
      <c r="A460" s="52"/>
      <c r="B460" s="11"/>
      <c r="C460" s="11" t="str">
        <f t="array" ref="C460">IF($B460="","",IFERROR(INDEX(Estimasi!$I$2:$I$1000,MATCH($B460,Estimasi!$H$2:$H$1000,0)),""))</f>
        <v/>
      </c>
      <c r="D460" s="32" t="str">
        <f t="array" ref="D460">IF($C460="","",IFERROR(INDEX(Estimasi!$M$2:$M$1000,MATCH($C460,Estimasi!$L$2:$L$1000,0)),""))</f>
        <v/>
      </c>
      <c r="E460" s="32"/>
      <c r="F460" s="32" t="str">
        <f t="shared" si="4"/>
        <v/>
      </c>
      <c r="G460" s="11" t="str">
        <f t="shared" si="5"/>
        <v/>
      </c>
    </row>
    <row r="461" ht="15.75" customHeight="1">
      <c r="A461" s="52"/>
      <c r="B461" s="11"/>
      <c r="C461" s="11" t="str">
        <f t="array" ref="C461">IF($B461="","",IFERROR(INDEX(Estimasi!$I$2:$I$1000,MATCH($B461,Estimasi!$H$2:$H$1000,0)),""))</f>
        <v/>
      </c>
      <c r="D461" s="32" t="str">
        <f t="array" ref="D461">IF($C461="","",IFERROR(INDEX(Estimasi!$M$2:$M$1000,MATCH($C461,Estimasi!$L$2:$L$1000,0)),""))</f>
        <v/>
      </c>
      <c r="E461" s="32"/>
      <c r="F461" s="32" t="str">
        <f t="shared" si="4"/>
        <v/>
      </c>
      <c r="G461" s="11" t="str">
        <f t="shared" si="5"/>
        <v/>
      </c>
    </row>
    <row r="462" ht="15.75" customHeight="1">
      <c r="A462" s="52"/>
      <c r="B462" s="11"/>
      <c r="C462" s="11" t="str">
        <f t="array" ref="C462">IF($B462="","",IFERROR(INDEX(Estimasi!$I$2:$I$1000,MATCH($B462,Estimasi!$H$2:$H$1000,0)),""))</f>
        <v/>
      </c>
      <c r="D462" s="32" t="str">
        <f t="array" ref="D462">IF($C462="","",IFERROR(INDEX(Estimasi!$M$2:$M$1000,MATCH($C462,Estimasi!$L$2:$L$1000,0)),""))</f>
        <v/>
      </c>
      <c r="E462" s="32"/>
      <c r="F462" s="32" t="str">
        <f t="shared" si="4"/>
        <v/>
      </c>
      <c r="G462" s="11" t="str">
        <f t="shared" si="5"/>
        <v/>
      </c>
    </row>
    <row r="463" ht="15.75" customHeight="1">
      <c r="A463" s="52"/>
      <c r="B463" s="11"/>
      <c r="C463" s="11" t="str">
        <f t="array" ref="C463">IF($B463="","",IFERROR(INDEX(Estimasi!$I$2:$I$1000,MATCH($B463,Estimasi!$H$2:$H$1000,0)),""))</f>
        <v/>
      </c>
      <c r="D463" s="32" t="str">
        <f t="array" ref="D463">IF($C463="","",IFERROR(INDEX(Estimasi!$M$2:$M$1000,MATCH($C463,Estimasi!$L$2:$L$1000,0)),""))</f>
        <v/>
      </c>
      <c r="E463" s="32"/>
      <c r="F463" s="32" t="str">
        <f t="shared" si="4"/>
        <v/>
      </c>
      <c r="G463" s="11" t="str">
        <f t="shared" si="5"/>
        <v/>
      </c>
    </row>
    <row r="464" ht="15.75" customHeight="1">
      <c r="A464" s="52"/>
      <c r="B464" s="11"/>
      <c r="C464" s="11" t="str">
        <f t="array" ref="C464">IF($B464="","",IFERROR(INDEX(Estimasi!$I$2:$I$1000,MATCH($B464,Estimasi!$H$2:$H$1000,0)),""))</f>
        <v/>
      </c>
      <c r="D464" s="32" t="str">
        <f t="array" ref="D464">IF($C464="","",IFERROR(INDEX(Estimasi!$M$2:$M$1000,MATCH($C464,Estimasi!$L$2:$L$1000,0)),""))</f>
        <v/>
      </c>
      <c r="E464" s="32"/>
      <c r="F464" s="32" t="str">
        <f t="shared" si="4"/>
        <v/>
      </c>
      <c r="G464" s="11" t="str">
        <f t="shared" si="5"/>
        <v/>
      </c>
    </row>
    <row r="465" ht="15.75" customHeight="1">
      <c r="A465" s="52"/>
      <c r="B465" s="11"/>
      <c r="C465" s="11" t="str">
        <f t="array" ref="C465">IF($B465="","",IFERROR(INDEX(Estimasi!$I$2:$I$1000,MATCH($B465,Estimasi!$H$2:$H$1000,0)),""))</f>
        <v/>
      </c>
      <c r="D465" s="32" t="str">
        <f t="array" ref="D465">IF($C465="","",IFERROR(INDEX(Estimasi!$M$2:$M$1000,MATCH($C465,Estimasi!$L$2:$L$1000,0)),""))</f>
        <v/>
      </c>
      <c r="E465" s="32"/>
      <c r="F465" s="32" t="str">
        <f t="shared" si="4"/>
        <v/>
      </c>
      <c r="G465" s="11" t="str">
        <f t="shared" si="5"/>
        <v/>
      </c>
    </row>
    <row r="466" ht="15.75" customHeight="1">
      <c r="A466" s="52"/>
      <c r="B466" s="11"/>
      <c r="C466" s="11" t="str">
        <f t="array" ref="C466">IF($B466="","",IFERROR(INDEX(Estimasi!$I$2:$I$1000,MATCH($B466,Estimasi!$H$2:$H$1000,0)),""))</f>
        <v/>
      </c>
      <c r="D466" s="32" t="str">
        <f t="array" ref="D466">IF($C466="","",IFERROR(INDEX(Estimasi!$M$2:$M$1000,MATCH($C466,Estimasi!$L$2:$L$1000,0)),""))</f>
        <v/>
      </c>
      <c r="E466" s="32"/>
      <c r="F466" s="32" t="str">
        <f t="shared" si="4"/>
        <v/>
      </c>
      <c r="G466" s="11" t="str">
        <f t="shared" si="5"/>
        <v/>
      </c>
    </row>
    <row r="467" ht="15.75" customHeight="1">
      <c r="A467" s="52"/>
      <c r="B467" s="11"/>
      <c r="C467" s="11" t="str">
        <f t="array" ref="C467">IF($B467="","",IFERROR(INDEX(Estimasi!$I$2:$I$1000,MATCH($B467,Estimasi!$H$2:$H$1000,0)),""))</f>
        <v/>
      </c>
      <c r="D467" s="32" t="str">
        <f t="array" ref="D467">IF($C467="","",IFERROR(INDEX(Estimasi!$M$2:$M$1000,MATCH($C467,Estimasi!$L$2:$L$1000,0)),""))</f>
        <v/>
      </c>
      <c r="E467" s="32"/>
      <c r="F467" s="32" t="str">
        <f t="shared" si="4"/>
        <v/>
      </c>
      <c r="G467" s="11" t="str">
        <f t="shared" si="5"/>
        <v/>
      </c>
    </row>
    <row r="468" ht="15.75" customHeight="1">
      <c r="A468" s="52"/>
      <c r="B468" s="11"/>
      <c r="C468" s="11" t="str">
        <f t="array" ref="C468">IF($B468="","",IFERROR(INDEX(Estimasi!$I$2:$I$1000,MATCH($B468,Estimasi!$H$2:$H$1000,0)),""))</f>
        <v/>
      </c>
      <c r="D468" s="32" t="str">
        <f t="array" ref="D468">IF($C468="","",IFERROR(INDEX(Estimasi!$M$2:$M$1000,MATCH($C468,Estimasi!$L$2:$L$1000,0)),""))</f>
        <v/>
      </c>
      <c r="E468" s="32"/>
      <c r="F468" s="32" t="str">
        <f t="shared" si="4"/>
        <v/>
      </c>
      <c r="G468" s="11" t="str">
        <f t="shared" si="5"/>
        <v/>
      </c>
    </row>
    <row r="469" ht="15.75" customHeight="1">
      <c r="A469" s="52"/>
      <c r="B469" s="11"/>
      <c r="C469" s="11" t="str">
        <f t="array" ref="C469">IF($B469="","",IFERROR(INDEX(Estimasi!$I$2:$I$1000,MATCH($B469,Estimasi!$H$2:$H$1000,0)),""))</f>
        <v/>
      </c>
      <c r="D469" s="32" t="str">
        <f t="array" ref="D469">IF($C469="","",IFERROR(INDEX(Estimasi!$M$2:$M$1000,MATCH($C469,Estimasi!$L$2:$L$1000,0)),""))</f>
        <v/>
      </c>
      <c r="E469" s="32"/>
      <c r="F469" s="32" t="str">
        <f t="shared" si="4"/>
        <v/>
      </c>
      <c r="G469" s="11" t="str">
        <f t="shared" si="5"/>
        <v/>
      </c>
    </row>
    <row r="470" ht="15.75" customHeight="1">
      <c r="A470" s="52"/>
      <c r="B470" s="11"/>
      <c r="C470" s="11" t="str">
        <f t="array" ref="C470">IF($B470="","",IFERROR(INDEX(Estimasi!$I$2:$I$1000,MATCH($B470,Estimasi!$H$2:$H$1000,0)),""))</f>
        <v/>
      </c>
      <c r="D470" s="32" t="str">
        <f t="array" ref="D470">IF($C470="","",IFERROR(INDEX(Estimasi!$M$2:$M$1000,MATCH($C470,Estimasi!$L$2:$L$1000,0)),""))</f>
        <v/>
      </c>
      <c r="E470" s="32"/>
      <c r="F470" s="32" t="str">
        <f t="shared" si="4"/>
        <v/>
      </c>
      <c r="G470" s="11" t="str">
        <f t="shared" si="5"/>
        <v/>
      </c>
    </row>
    <row r="471" ht="15.75" customHeight="1">
      <c r="A471" s="52"/>
      <c r="B471" s="11"/>
      <c r="C471" s="11" t="str">
        <f t="array" ref="C471">IF($B471="","",IFERROR(INDEX(Estimasi!$I$2:$I$1000,MATCH($B471,Estimasi!$H$2:$H$1000,0)),""))</f>
        <v/>
      </c>
      <c r="D471" s="32" t="str">
        <f t="array" ref="D471">IF($C471="","",IFERROR(INDEX(Estimasi!$M$2:$M$1000,MATCH($C471,Estimasi!$L$2:$L$1000,0)),""))</f>
        <v/>
      </c>
      <c r="E471" s="32"/>
      <c r="F471" s="32" t="str">
        <f t="shared" si="4"/>
        <v/>
      </c>
      <c r="G471" s="11" t="str">
        <f t="shared" si="5"/>
        <v/>
      </c>
    </row>
    <row r="472" ht="15.75" customHeight="1">
      <c r="A472" s="52"/>
      <c r="B472" s="11"/>
      <c r="C472" s="11" t="str">
        <f t="array" ref="C472">IF($B472="","",IFERROR(INDEX(Estimasi!$I$2:$I$1000,MATCH($B472,Estimasi!$H$2:$H$1000,0)),""))</f>
        <v/>
      </c>
      <c r="D472" s="32" t="str">
        <f t="array" ref="D472">IF($C472="","",IFERROR(INDEX(Estimasi!$M$2:$M$1000,MATCH($C472,Estimasi!$L$2:$L$1000,0)),""))</f>
        <v/>
      </c>
      <c r="E472" s="32"/>
      <c r="F472" s="32" t="str">
        <f t="shared" si="4"/>
        <v/>
      </c>
      <c r="G472" s="11" t="str">
        <f t="shared" si="5"/>
        <v/>
      </c>
    </row>
    <row r="473" ht="15.75" customHeight="1">
      <c r="A473" s="52"/>
      <c r="B473" s="11"/>
      <c r="C473" s="11" t="str">
        <f t="array" ref="C473">IF($B473="","",IFERROR(INDEX(Estimasi!$I$2:$I$1000,MATCH($B473,Estimasi!$H$2:$H$1000,0)),""))</f>
        <v/>
      </c>
      <c r="D473" s="32" t="str">
        <f t="array" ref="D473">IF($C473="","",IFERROR(INDEX(Estimasi!$M$2:$M$1000,MATCH($C473,Estimasi!$L$2:$L$1000,0)),""))</f>
        <v/>
      </c>
      <c r="E473" s="32"/>
      <c r="F473" s="32" t="str">
        <f t="shared" si="4"/>
        <v/>
      </c>
      <c r="G473" s="11" t="str">
        <f t="shared" si="5"/>
        <v/>
      </c>
    </row>
    <row r="474" ht="15.75" customHeight="1">
      <c r="A474" s="52"/>
      <c r="B474" s="11"/>
      <c r="C474" s="11" t="str">
        <f t="array" ref="C474">IF($B474="","",IFERROR(INDEX(Estimasi!$I$2:$I$1000,MATCH($B474,Estimasi!$H$2:$H$1000,0)),""))</f>
        <v/>
      </c>
      <c r="D474" s="32" t="str">
        <f t="array" ref="D474">IF($C474="","",IFERROR(INDEX(Estimasi!$M$2:$M$1000,MATCH($C474,Estimasi!$L$2:$L$1000,0)),""))</f>
        <v/>
      </c>
      <c r="E474" s="32"/>
      <c r="F474" s="32" t="str">
        <f t="shared" si="4"/>
        <v/>
      </c>
      <c r="G474" s="11" t="str">
        <f t="shared" si="5"/>
        <v/>
      </c>
    </row>
    <row r="475" ht="15.75" customHeight="1">
      <c r="A475" s="52"/>
      <c r="B475" s="11"/>
      <c r="C475" s="11" t="str">
        <f t="array" ref="C475">IF($B475="","",IFERROR(INDEX(Estimasi!$I$2:$I$1000,MATCH($B475,Estimasi!$H$2:$H$1000,0)),""))</f>
        <v/>
      </c>
      <c r="D475" s="32" t="str">
        <f t="array" ref="D475">IF($C475="","",IFERROR(INDEX(Estimasi!$M$2:$M$1000,MATCH($C475,Estimasi!$L$2:$L$1000,0)),""))</f>
        <v/>
      </c>
      <c r="E475" s="32"/>
      <c r="F475" s="32" t="str">
        <f t="shared" si="4"/>
        <v/>
      </c>
      <c r="G475" s="11" t="str">
        <f t="shared" si="5"/>
        <v/>
      </c>
    </row>
    <row r="476" ht="15.75" customHeight="1">
      <c r="A476" s="52"/>
      <c r="B476" s="11"/>
      <c r="C476" s="11" t="str">
        <f t="array" ref="C476">IF($B476="","",IFERROR(INDEX(Estimasi!$I$2:$I$1000,MATCH($B476,Estimasi!$H$2:$H$1000,0)),""))</f>
        <v/>
      </c>
      <c r="D476" s="32" t="str">
        <f t="array" ref="D476">IF($C476="","",IFERROR(INDEX(Estimasi!$M$2:$M$1000,MATCH($C476,Estimasi!$L$2:$L$1000,0)),""))</f>
        <v/>
      </c>
      <c r="E476" s="32"/>
      <c r="F476" s="32" t="str">
        <f t="shared" si="4"/>
        <v/>
      </c>
      <c r="G476" s="11" t="str">
        <f t="shared" si="5"/>
        <v/>
      </c>
    </row>
    <row r="477" ht="15.75" customHeight="1">
      <c r="A477" s="52"/>
      <c r="B477" s="11"/>
      <c r="C477" s="11" t="str">
        <f t="array" ref="C477">IF($B477="","",IFERROR(INDEX(Estimasi!$I$2:$I$1000,MATCH($B477,Estimasi!$H$2:$H$1000,0)),""))</f>
        <v/>
      </c>
      <c r="D477" s="32" t="str">
        <f t="array" ref="D477">IF($C477="","",IFERROR(INDEX(Estimasi!$M$2:$M$1000,MATCH($C477,Estimasi!$L$2:$L$1000,0)),""))</f>
        <v/>
      </c>
      <c r="E477" s="32"/>
      <c r="F477" s="32" t="str">
        <f t="shared" si="4"/>
        <v/>
      </c>
      <c r="G477" s="11" t="str">
        <f t="shared" si="5"/>
        <v/>
      </c>
    </row>
    <row r="478" ht="15.75" customHeight="1">
      <c r="A478" s="52"/>
      <c r="B478" s="11"/>
      <c r="C478" s="11" t="str">
        <f t="array" ref="C478">IF($B478="","",IFERROR(INDEX(Estimasi!$I$2:$I$1000,MATCH($B478,Estimasi!$H$2:$H$1000,0)),""))</f>
        <v/>
      </c>
      <c r="D478" s="32" t="str">
        <f t="array" ref="D478">IF($C478="","",IFERROR(INDEX(Estimasi!$M$2:$M$1000,MATCH($C478,Estimasi!$L$2:$L$1000,0)),""))</f>
        <v/>
      </c>
      <c r="E478" s="32"/>
      <c r="F478" s="32" t="str">
        <f t="shared" si="4"/>
        <v/>
      </c>
      <c r="G478" s="11" t="str">
        <f t="shared" si="5"/>
        <v/>
      </c>
    </row>
    <row r="479" ht="15.75" customHeight="1">
      <c r="A479" s="52"/>
      <c r="B479" s="11"/>
      <c r="C479" s="11" t="str">
        <f t="array" ref="C479">IF($B479="","",IFERROR(INDEX(Estimasi!$I$2:$I$1000,MATCH($B479,Estimasi!$H$2:$H$1000,0)),""))</f>
        <v/>
      </c>
      <c r="D479" s="32" t="str">
        <f t="array" ref="D479">IF($C479="","",IFERROR(INDEX(Estimasi!$M$2:$M$1000,MATCH($C479,Estimasi!$L$2:$L$1000,0)),""))</f>
        <v/>
      </c>
      <c r="E479" s="32"/>
      <c r="F479" s="32" t="str">
        <f t="shared" si="4"/>
        <v/>
      </c>
      <c r="G479" s="11" t="str">
        <f t="shared" si="5"/>
        <v/>
      </c>
    </row>
    <row r="480" ht="15.75" customHeight="1">
      <c r="A480" s="52"/>
      <c r="B480" s="11"/>
      <c r="C480" s="11" t="str">
        <f t="array" ref="C480">IF($B480="","",IFERROR(INDEX(Estimasi!$I$2:$I$1000,MATCH($B480,Estimasi!$H$2:$H$1000,0)),""))</f>
        <v/>
      </c>
      <c r="D480" s="32" t="str">
        <f t="array" ref="D480">IF($C480="","",IFERROR(INDEX(Estimasi!$M$2:$M$1000,MATCH($C480,Estimasi!$L$2:$L$1000,0)),""))</f>
        <v/>
      </c>
      <c r="E480" s="32"/>
      <c r="F480" s="32" t="str">
        <f t="shared" si="4"/>
        <v/>
      </c>
      <c r="G480" s="11" t="str">
        <f t="shared" si="5"/>
        <v/>
      </c>
    </row>
    <row r="481" ht="15.75" customHeight="1">
      <c r="A481" s="52"/>
      <c r="B481" s="11"/>
      <c r="C481" s="11" t="str">
        <f t="array" ref="C481">IF($B481="","",IFERROR(INDEX(Estimasi!$I$2:$I$1000,MATCH($B481,Estimasi!$H$2:$H$1000,0)),""))</f>
        <v/>
      </c>
      <c r="D481" s="32" t="str">
        <f t="array" ref="D481">IF($C481="","",IFERROR(INDEX(Estimasi!$M$2:$M$1000,MATCH($C481,Estimasi!$L$2:$L$1000,0)),""))</f>
        <v/>
      </c>
      <c r="E481" s="32"/>
      <c r="F481" s="32" t="str">
        <f t="shared" si="4"/>
        <v/>
      </c>
      <c r="G481" s="11" t="str">
        <f t="shared" si="5"/>
        <v/>
      </c>
    </row>
    <row r="482" ht="15.75" customHeight="1">
      <c r="A482" s="52"/>
      <c r="B482" s="11"/>
      <c r="C482" s="11" t="str">
        <f t="array" ref="C482">IF($B482="","",IFERROR(INDEX(Estimasi!$I$2:$I$1000,MATCH($B482,Estimasi!$H$2:$H$1000,0)),""))</f>
        <v/>
      </c>
      <c r="D482" s="32" t="str">
        <f t="array" ref="D482">IF($C482="","",IFERROR(INDEX(Estimasi!$M$2:$M$1000,MATCH($C482,Estimasi!$L$2:$L$1000,0)),""))</f>
        <v/>
      </c>
      <c r="E482" s="32"/>
      <c r="F482" s="32" t="str">
        <f t="shared" si="4"/>
        <v/>
      </c>
      <c r="G482" s="11" t="str">
        <f t="shared" si="5"/>
        <v/>
      </c>
    </row>
    <row r="483" ht="15.75" customHeight="1">
      <c r="A483" s="52"/>
      <c r="B483" s="11"/>
      <c r="C483" s="11" t="str">
        <f t="array" ref="C483">IF($B483="","",IFERROR(INDEX(Estimasi!$I$2:$I$1000,MATCH($B483,Estimasi!$H$2:$H$1000,0)),""))</f>
        <v/>
      </c>
      <c r="D483" s="32" t="str">
        <f t="array" ref="D483">IF($C483="","",IFERROR(INDEX(Estimasi!$M$2:$M$1000,MATCH($C483,Estimasi!$L$2:$L$1000,0)),""))</f>
        <v/>
      </c>
      <c r="E483" s="32"/>
      <c r="F483" s="32" t="str">
        <f t="shared" si="4"/>
        <v/>
      </c>
      <c r="G483" s="11" t="str">
        <f t="shared" si="5"/>
        <v/>
      </c>
    </row>
    <row r="484" ht="15.75" customHeight="1">
      <c r="A484" s="52"/>
      <c r="B484" s="11"/>
      <c r="C484" s="11" t="str">
        <f t="array" ref="C484">IF($B484="","",IFERROR(INDEX(Estimasi!$I$2:$I$1000,MATCH($B484,Estimasi!$H$2:$H$1000,0)),""))</f>
        <v/>
      </c>
      <c r="D484" s="32" t="str">
        <f t="array" ref="D484">IF($C484="","",IFERROR(INDEX(Estimasi!$M$2:$M$1000,MATCH($C484,Estimasi!$L$2:$L$1000,0)),""))</f>
        <v/>
      </c>
      <c r="E484" s="32"/>
      <c r="F484" s="32" t="str">
        <f t="shared" si="4"/>
        <v/>
      </c>
      <c r="G484" s="11" t="str">
        <f t="shared" si="5"/>
        <v/>
      </c>
    </row>
    <row r="485" ht="15.75" customHeight="1">
      <c r="A485" s="52"/>
      <c r="B485" s="11"/>
      <c r="C485" s="11" t="str">
        <f t="array" ref="C485">IF($B485="","",IFERROR(INDEX(Estimasi!$I$2:$I$1000,MATCH($B485,Estimasi!$H$2:$H$1000,0)),""))</f>
        <v/>
      </c>
      <c r="D485" s="32" t="str">
        <f t="array" ref="D485">IF($C485="","",IFERROR(INDEX(Estimasi!$M$2:$M$1000,MATCH($C485,Estimasi!$L$2:$L$1000,0)),""))</f>
        <v/>
      </c>
      <c r="E485" s="32"/>
      <c r="F485" s="32" t="str">
        <f t="shared" si="4"/>
        <v/>
      </c>
      <c r="G485" s="11" t="str">
        <f t="shared" si="5"/>
        <v/>
      </c>
    </row>
    <row r="486" ht="15.75" customHeight="1">
      <c r="A486" s="52"/>
      <c r="B486" s="11"/>
      <c r="C486" s="11" t="str">
        <f t="array" ref="C486">IF($B486="","",IFERROR(INDEX(Estimasi!$I$2:$I$1000,MATCH($B486,Estimasi!$H$2:$H$1000,0)),""))</f>
        <v/>
      </c>
      <c r="D486" s="32" t="str">
        <f t="array" ref="D486">IF($C486="","",IFERROR(INDEX(Estimasi!$M$2:$M$1000,MATCH($C486,Estimasi!$L$2:$L$1000,0)),""))</f>
        <v/>
      </c>
      <c r="E486" s="32"/>
      <c r="F486" s="32" t="str">
        <f t="shared" si="4"/>
        <v/>
      </c>
      <c r="G486" s="11" t="str">
        <f t="shared" si="5"/>
        <v/>
      </c>
    </row>
    <row r="487" ht="15.75" customHeight="1">
      <c r="A487" s="52"/>
      <c r="B487" s="11"/>
      <c r="C487" s="11" t="str">
        <f t="array" ref="C487">IF($B487="","",IFERROR(INDEX(Estimasi!$I$2:$I$1000,MATCH($B487,Estimasi!$H$2:$H$1000,0)),""))</f>
        <v/>
      </c>
      <c r="D487" s="32" t="str">
        <f t="array" ref="D487">IF($C487="","",IFERROR(INDEX(Estimasi!$M$2:$M$1000,MATCH($C487,Estimasi!$L$2:$L$1000,0)),""))</f>
        <v/>
      </c>
      <c r="E487" s="32"/>
      <c r="F487" s="32" t="str">
        <f t="shared" si="4"/>
        <v/>
      </c>
      <c r="G487" s="11" t="str">
        <f t="shared" si="5"/>
        <v/>
      </c>
    </row>
    <row r="488" ht="15.75" customHeight="1">
      <c r="A488" s="52"/>
      <c r="B488" s="11"/>
      <c r="C488" s="11" t="str">
        <f t="array" ref="C488">IF($B488="","",IFERROR(INDEX(Estimasi!$I$2:$I$1000,MATCH($B488,Estimasi!$H$2:$H$1000,0)),""))</f>
        <v/>
      </c>
      <c r="D488" s="32" t="str">
        <f t="array" ref="D488">IF($C488="","",IFERROR(INDEX(Estimasi!$M$2:$M$1000,MATCH($C488,Estimasi!$L$2:$L$1000,0)),""))</f>
        <v/>
      </c>
      <c r="E488" s="32"/>
      <c r="F488" s="32" t="str">
        <f t="shared" si="4"/>
        <v/>
      </c>
      <c r="G488" s="11" t="str">
        <f t="shared" si="5"/>
        <v/>
      </c>
    </row>
    <row r="489" ht="15.75" customHeight="1">
      <c r="A489" s="52"/>
      <c r="B489" s="11"/>
      <c r="C489" s="11" t="str">
        <f t="array" ref="C489">IF($B489="","",IFERROR(INDEX(Estimasi!$I$2:$I$1000,MATCH($B489,Estimasi!$H$2:$H$1000,0)),""))</f>
        <v/>
      </c>
      <c r="D489" s="32" t="str">
        <f t="array" ref="D489">IF($C489="","",IFERROR(INDEX(Estimasi!$M$2:$M$1000,MATCH($C489,Estimasi!$L$2:$L$1000,0)),""))</f>
        <v/>
      </c>
      <c r="E489" s="32"/>
      <c r="F489" s="32" t="str">
        <f t="shared" si="4"/>
        <v/>
      </c>
      <c r="G489" s="11" t="str">
        <f t="shared" si="5"/>
        <v/>
      </c>
    </row>
    <row r="490" ht="15.75" customHeight="1">
      <c r="A490" s="52"/>
      <c r="B490" s="11"/>
      <c r="C490" s="11" t="str">
        <f t="array" ref="C490">IF($B490="","",IFERROR(INDEX(Estimasi!$I$2:$I$1000,MATCH($B490,Estimasi!$H$2:$H$1000,0)),""))</f>
        <v/>
      </c>
      <c r="D490" s="32" t="str">
        <f t="array" ref="D490">IF($C490="","",IFERROR(INDEX(Estimasi!$M$2:$M$1000,MATCH($C490,Estimasi!$L$2:$L$1000,0)),""))</f>
        <v/>
      </c>
      <c r="E490" s="32"/>
      <c r="F490" s="32" t="str">
        <f t="shared" si="4"/>
        <v/>
      </c>
      <c r="G490" s="11" t="str">
        <f t="shared" si="5"/>
        <v/>
      </c>
    </row>
    <row r="491" ht="15.75" customHeight="1">
      <c r="A491" s="52"/>
      <c r="B491" s="11"/>
      <c r="C491" s="11" t="str">
        <f t="array" ref="C491">IF($B491="","",IFERROR(INDEX(Estimasi!$I$2:$I$1000,MATCH($B491,Estimasi!$H$2:$H$1000,0)),""))</f>
        <v/>
      </c>
      <c r="D491" s="32" t="str">
        <f t="array" ref="D491">IF($C491="","",IFERROR(INDEX(Estimasi!$M$2:$M$1000,MATCH($C491,Estimasi!$L$2:$L$1000,0)),""))</f>
        <v/>
      </c>
      <c r="E491" s="32"/>
      <c r="F491" s="32" t="str">
        <f t="shared" si="4"/>
        <v/>
      </c>
      <c r="G491" s="11" t="str">
        <f t="shared" si="5"/>
        <v/>
      </c>
    </row>
    <row r="492" ht="15.75" customHeight="1">
      <c r="A492" s="52"/>
      <c r="B492" s="11"/>
      <c r="C492" s="11" t="str">
        <f t="array" ref="C492">IF($B492="","",IFERROR(INDEX(Estimasi!$I$2:$I$1000,MATCH($B492,Estimasi!$H$2:$H$1000,0)),""))</f>
        <v/>
      </c>
      <c r="D492" s="32" t="str">
        <f t="array" ref="D492">IF($C492="","",IFERROR(INDEX(Estimasi!$M$2:$M$1000,MATCH($C492,Estimasi!$L$2:$L$1000,0)),""))</f>
        <v/>
      </c>
      <c r="E492" s="32"/>
      <c r="F492" s="32" t="str">
        <f t="shared" si="4"/>
        <v/>
      </c>
      <c r="G492" s="11" t="str">
        <f t="shared" si="5"/>
        <v/>
      </c>
    </row>
    <row r="493" ht="15.75" customHeight="1">
      <c r="A493" s="52"/>
      <c r="B493" s="11"/>
      <c r="C493" s="11" t="str">
        <f t="array" ref="C493">IF($B493="","",IFERROR(INDEX(Estimasi!$I$2:$I$1000,MATCH($B493,Estimasi!$H$2:$H$1000,0)),""))</f>
        <v/>
      </c>
      <c r="D493" s="32" t="str">
        <f t="array" ref="D493">IF($C493="","",IFERROR(INDEX(Estimasi!$M$2:$M$1000,MATCH($C493,Estimasi!$L$2:$L$1000,0)),""))</f>
        <v/>
      </c>
      <c r="E493" s="32"/>
      <c r="F493" s="32" t="str">
        <f t="shared" si="4"/>
        <v/>
      </c>
      <c r="G493" s="11" t="str">
        <f t="shared" si="5"/>
        <v/>
      </c>
    </row>
    <row r="494" ht="15.75" customHeight="1">
      <c r="A494" s="52"/>
      <c r="B494" s="11"/>
      <c r="C494" s="11" t="str">
        <f t="array" ref="C494">IF($B494="","",IFERROR(INDEX(Estimasi!$I$2:$I$1000,MATCH($B494,Estimasi!$H$2:$H$1000,0)),""))</f>
        <v/>
      </c>
      <c r="D494" s="32" t="str">
        <f t="array" ref="D494">IF($C494="","",IFERROR(INDEX(Estimasi!$M$2:$M$1000,MATCH($C494,Estimasi!$L$2:$L$1000,0)),""))</f>
        <v/>
      </c>
      <c r="E494" s="32"/>
      <c r="F494" s="32" t="str">
        <f t="shared" si="4"/>
        <v/>
      </c>
      <c r="G494" s="11" t="str">
        <f t="shared" si="5"/>
        <v/>
      </c>
    </row>
    <row r="495" ht="15.75" customHeight="1">
      <c r="A495" s="52"/>
      <c r="B495" s="11"/>
      <c r="C495" s="11" t="str">
        <f t="array" ref="C495">IF($B495="","",IFERROR(INDEX(Estimasi!$I$2:$I$1000,MATCH($B495,Estimasi!$H$2:$H$1000,0)),""))</f>
        <v/>
      </c>
      <c r="D495" s="32" t="str">
        <f t="array" ref="D495">IF($C495="","",IFERROR(INDEX(Estimasi!$M$2:$M$1000,MATCH($C495,Estimasi!$L$2:$L$1000,0)),""))</f>
        <v/>
      </c>
      <c r="E495" s="32"/>
      <c r="F495" s="32" t="str">
        <f t="shared" si="4"/>
        <v/>
      </c>
      <c r="G495" s="11" t="str">
        <f t="shared" si="5"/>
        <v/>
      </c>
    </row>
    <row r="496" ht="15.75" customHeight="1">
      <c r="A496" s="52"/>
      <c r="B496" s="11"/>
      <c r="C496" s="11" t="str">
        <f t="array" ref="C496">IF($B496="","",IFERROR(INDEX(Estimasi!$I$2:$I$1000,MATCH($B496,Estimasi!$H$2:$H$1000,0)),""))</f>
        <v/>
      </c>
      <c r="D496" s="32" t="str">
        <f t="array" ref="D496">IF($C496="","",IFERROR(INDEX(Estimasi!$M$2:$M$1000,MATCH($C496,Estimasi!$L$2:$L$1000,0)),""))</f>
        <v/>
      </c>
      <c r="E496" s="32"/>
      <c r="F496" s="32" t="str">
        <f t="shared" si="4"/>
        <v/>
      </c>
      <c r="G496" s="11" t="str">
        <f t="shared" si="5"/>
        <v/>
      </c>
    </row>
    <row r="497" ht="15.75" customHeight="1">
      <c r="A497" s="52"/>
      <c r="B497" s="11"/>
      <c r="C497" s="11" t="str">
        <f t="array" ref="C497">IF($B497="","",IFERROR(INDEX(Estimasi!$I$2:$I$1000,MATCH($B497,Estimasi!$H$2:$H$1000,0)),""))</f>
        <v/>
      </c>
      <c r="D497" s="32" t="str">
        <f t="array" ref="D497">IF($C497="","",IFERROR(INDEX(Estimasi!$M$2:$M$1000,MATCH($C497,Estimasi!$L$2:$L$1000,0)),""))</f>
        <v/>
      </c>
      <c r="E497" s="32"/>
      <c r="F497" s="32" t="str">
        <f t="shared" si="4"/>
        <v/>
      </c>
      <c r="G497" s="11" t="str">
        <f t="shared" si="5"/>
        <v/>
      </c>
    </row>
    <row r="498" ht="15.75" customHeight="1">
      <c r="A498" s="52"/>
      <c r="B498" s="11"/>
      <c r="C498" s="11" t="str">
        <f t="array" ref="C498">IF($B498="","",IFERROR(INDEX(Estimasi!$I$2:$I$1000,MATCH($B498,Estimasi!$H$2:$H$1000,0)),""))</f>
        <v/>
      </c>
      <c r="D498" s="32" t="str">
        <f t="array" ref="D498">IF($C498="","",IFERROR(INDEX(Estimasi!$M$2:$M$1000,MATCH($C498,Estimasi!$L$2:$L$1000,0)),""))</f>
        <v/>
      </c>
      <c r="E498" s="32"/>
      <c r="F498" s="32" t="str">
        <f t="shared" si="4"/>
        <v/>
      </c>
      <c r="G498" s="11" t="str">
        <f t="shared" si="5"/>
        <v/>
      </c>
    </row>
    <row r="499" ht="15.75" customHeight="1">
      <c r="A499" s="52"/>
      <c r="B499" s="11"/>
      <c r="C499" s="11" t="str">
        <f t="array" ref="C499">IF($B499="","",IFERROR(INDEX(Estimasi!$I$2:$I$1000,MATCH($B499,Estimasi!$H$2:$H$1000,0)),""))</f>
        <v/>
      </c>
      <c r="D499" s="32" t="str">
        <f t="array" ref="D499">IF($C499="","",IFERROR(INDEX(Estimasi!$M$2:$M$1000,MATCH($C499,Estimasi!$L$2:$L$1000,0)),""))</f>
        <v/>
      </c>
      <c r="E499" s="32"/>
      <c r="F499" s="32" t="str">
        <f t="shared" si="4"/>
        <v/>
      </c>
      <c r="G499" s="11" t="str">
        <f t="shared" si="5"/>
        <v/>
      </c>
    </row>
    <row r="500" ht="15.75" customHeight="1">
      <c r="A500" s="52"/>
      <c r="B500" s="11"/>
      <c r="C500" s="11" t="str">
        <f t="array" ref="C500">IF($B500="","",IFERROR(INDEX(Estimasi!$I$2:$I$1000,MATCH($B500,Estimasi!$H$2:$H$1000,0)),""))</f>
        <v/>
      </c>
      <c r="D500" s="32" t="str">
        <f t="array" ref="D500">IF($C500="","",IFERROR(INDEX(Estimasi!$M$2:$M$1000,MATCH($C500,Estimasi!$L$2:$L$1000,0)),""))</f>
        <v/>
      </c>
      <c r="E500" s="32"/>
      <c r="F500" s="32" t="str">
        <f t="shared" si="4"/>
        <v/>
      </c>
      <c r="G500" s="11" t="str">
        <f t="shared" si="5"/>
        <v/>
      </c>
    </row>
    <row r="501" ht="15.75" customHeight="1">
      <c r="A501" s="52"/>
      <c r="B501" s="11"/>
      <c r="C501" s="11" t="str">
        <f t="array" ref="C501">IF($B501="","",IFERROR(INDEX(Estimasi!$I$2:$I$1000,MATCH($B501,Estimasi!$H$2:$H$1000,0)),""))</f>
        <v/>
      </c>
      <c r="D501" s="32" t="str">
        <f t="array" ref="D501">IF($C501="","",IFERROR(INDEX(Estimasi!$M$2:$M$1000,MATCH($C501,Estimasi!$L$2:$L$1000,0)),""))</f>
        <v/>
      </c>
      <c r="E501" s="32"/>
      <c r="F501" s="32" t="str">
        <f t="shared" si="4"/>
        <v/>
      </c>
      <c r="G501" s="11" t="str">
        <f t="shared" si="5"/>
        <v/>
      </c>
    </row>
    <row r="502" ht="15.75" customHeight="1">
      <c r="A502" s="52"/>
      <c r="B502" s="11"/>
      <c r="C502" s="11" t="str">
        <f t="array" ref="C502">IF($B502="","",IFERROR(INDEX(Estimasi!$I$2:$I$1000,MATCH($B502,Estimasi!$H$2:$H$1000,0)),""))</f>
        <v/>
      </c>
      <c r="D502" s="32" t="str">
        <f t="array" ref="D502">IF($C502="","",IFERROR(INDEX(Estimasi!$M$2:$M$1000,MATCH($C502,Estimasi!$L$2:$L$1000,0)),""))</f>
        <v/>
      </c>
      <c r="E502" s="32"/>
      <c r="F502" s="32" t="str">
        <f t="shared" si="4"/>
        <v/>
      </c>
      <c r="G502" s="11" t="str">
        <f t="shared" si="5"/>
        <v/>
      </c>
    </row>
    <row r="503" ht="15.75" customHeight="1">
      <c r="A503" s="52"/>
      <c r="B503" s="11"/>
      <c r="C503" s="11" t="str">
        <f t="array" ref="C503">IF($B503="","",IFERROR(INDEX(Estimasi!$I$2:$I$1000,MATCH($B503,Estimasi!$H$2:$H$1000,0)),""))</f>
        <v/>
      </c>
      <c r="D503" s="32" t="str">
        <f t="array" ref="D503">IF($C503="","",IFERROR(INDEX(Estimasi!$M$2:$M$1000,MATCH($C503,Estimasi!$L$2:$L$1000,0)),""))</f>
        <v/>
      </c>
      <c r="E503" s="32"/>
      <c r="F503" s="32" t="str">
        <f t="shared" si="4"/>
        <v/>
      </c>
      <c r="G503" s="11" t="str">
        <f t="shared" si="5"/>
        <v/>
      </c>
    </row>
    <row r="504" ht="15.75" customHeight="1">
      <c r="A504" s="52"/>
      <c r="B504" s="11"/>
      <c r="C504" s="11" t="str">
        <f t="array" ref="C504">IF($B504="","",IFERROR(INDEX(Estimasi!$I$2:$I$1000,MATCH($B504,Estimasi!$H$2:$H$1000,0)),""))</f>
        <v/>
      </c>
      <c r="D504" s="32" t="str">
        <f t="array" ref="D504">IF($C504="","",IFERROR(INDEX(Estimasi!$M$2:$M$1000,MATCH($C504,Estimasi!$L$2:$L$1000,0)),""))</f>
        <v/>
      </c>
      <c r="E504" s="32"/>
      <c r="F504" s="32" t="str">
        <f t="shared" si="4"/>
        <v/>
      </c>
      <c r="G504" s="11" t="str">
        <f t="shared" si="5"/>
        <v/>
      </c>
    </row>
    <row r="505" ht="15.75" customHeight="1">
      <c r="A505" s="52"/>
      <c r="B505" s="11"/>
      <c r="C505" s="11" t="str">
        <f t="array" ref="C505">IF($B505="","",IFERROR(INDEX(Estimasi!$I$2:$I$1000,MATCH($B505,Estimasi!$H$2:$H$1000,0)),""))</f>
        <v/>
      </c>
      <c r="D505" s="32" t="str">
        <f t="array" ref="D505">IF($C505="","",IFERROR(INDEX(Estimasi!$M$2:$M$1000,MATCH($C505,Estimasi!$L$2:$L$1000,0)),""))</f>
        <v/>
      </c>
      <c r="E505" s="32"/>
      <c r="F505" s="32" t="str">
        <f t="shared" si="4"/>
        <v/>
      </c>
      <c r="G505" s="11" t="str">
        <f t="shared" si="5"/>
        <v/>
      </c>
    </row>
    <row r="506" ht="15.75" customHeight="1">
      <c r="A506" s="52"/>
      <c r="B506" s="11"/>
      <c r="C506" s="11" t="str">
        <f t="array" ref="C506">IF($B506="","",IFERROR(INDEX(Estimasi!$I$2:$I$1000,MATCH($B506,Estimasi!$H$2:$H$1000,0)),""))</f>
        <v/>
      </c>
      <c r="D506" s="32" t="str">
        <f t="array" ref="D506">IF($C506="","",IFERROR(INDEX(Estimasi!$M$2:$M$1000,MATCH($C506,Estimasi!$L$2:$L$1000,0)),""))</f>
        <v/>
      </c>
      <c r="E506" s="32"/>
      <c r="F506" s="32" t="str">
        <f t="shared" si="4"/>
        <v/>
      </c>
      <c r="G506" s="11" t="str">
        <f t="shared" si="5"/>
        <v/>
      </c>
    </row>
    <row r="507" ht="15.75" customHeight="1">
      <c r="A507" s="52"/>
      <c r="B507" s="11"/>
      <c r="C507" s="11" t="str">
        <f t="array" ref="C507">IF($B507="","",IFERROR(INDEX(Estimasi!$I$2:$I$1000,MATCH($B507,Estimasi!$H$2:$H$1000,0)),""))</f>
        <v/>
      </c>
      <c r="D507" s="32" t="str">
        <f t="array" ref="D507">IF($C507="","",IFERROR(INDEX(Estimasi!$M$2:$M$1000,MATCH($C507,Estimasi!$L$2:$L$1000,0)),""))</f>
        <v/>
      </c>
      <c r="E507" s="32"/>
      <c r="F507" s="32" t="str">
        <f t="shared" si="4"/>
        <v/>
      </c>
      <c r="G507" s="11" t="str">
        <f t="shared" si="5"/>
        <v/>
      </c>
    </row>
    <row r="508" ht="15.75" customHeight="1">
      <c r="A508" s="52"/>
      <c r="B508" s="11"/>
      <c r="C508" s="11" t="str">
        <f t="array" ref="C508">IF($B508="","",IFERROR(INDEX(Estimasi!$I$2:$I$1000,MATCH($B508,Estimasi!$H$2:$H$1000,0)),""))</f>
        <v/>
      </c>
      <c r="D508" s="32" t="str">
        <f t="array" ref="D508">IF($C508="","",IFERROR(INDEX(Estimasi!$M$2:$M$1000,MATCH($C508,Estimasi!$L$2:$L$1000,0)),""))</f>
        <v/>
      </c>
      <c r="E508" s="32"/>
      <c r="F508" s="32" t="str">
        <f t="shared" si="4"/>
        <v/>
      </c>
      <c r="G508" s="11" t="str">
        <f t="shared" si="5"/>
        <v/>
      </c>
    </row>
    <row r="509" ht="15.75" customHeight="1">
      <c r="A509" s="52"/>
      <c r="B509" s="11"/>
      <c r="C509" s="11" t="str">
        <f t="array" ref="C509">IF($B509="","",IFERROR(INDEX(Estimasi!$I$2:$I$1000,MATCH($B509,Estimasi!$H$2:$H$1000,0)),""))</f>
        <v/>
      </c>
      <c r="D509" s="32" t="str">
        <f t="array" ref="D509">IF($C509="","",IFERROR(INDEX(Estimasi!$M$2:$M$1000,MATCH($C509,Estimasi!$L$2:$L$1000,0)),""))</f>
        <v/>
      </c>
      <c r="E509" s="32"/>
      <c r="F509" s="32" t="str">
        <f t="shared" si="4"/>
        <v/>
      </c>
      <c r="G509" s="11" t="str">
        <f t="shared" si="5"/>
        <v/>
      </c>
    </row>
    <row r="510" ht="15.75" customHeight="1">
      <c r="A510" s="52"/>
      <c r="B510" s="11"/>
      <c r="C510" s="11" t="str">
        <f t="array" ref="C510">IF($B510="","",IFERROR(INDEX(Estimasi!$I$2:$I$1000,MATCH($B510,Estimasi!$H$2:$H$1000,0)),""))</f>
        <v/>
      </c>
      <c r="D510" s="32" t="str">
        <f t="array" ref="D510">IF($C510="","",IFERROR(INDEX(Estimasi!$M$2:$M$1000,MATCH($C510,Estimasi!$L$2:$L$1000,0)),""))</f>
        <v/>
      </c>
      <c r="E510" s="32"/>
      <c r="F510" s="32" t="str">
        <f t="shared" si="4"/>
        <v/>
      </c>
      <c r="G510" s="11" t="str">
        <f t="shared" si="5"/>
        <v/>
      </c>
    </row>
    <row r="511" ht="15.75" customHeight="1">
      <c r="A511" s="52"/>
      <c r="B511" s="11"/>
      <c r="C511" s="11" t="str">
        <f t="array" ref="C511">IF($B511="","",IFERROR(INDEX(Estimasi!$I$2:$I$1000,MATCH($B511,Estimasi!$H$2:$H$1000,0)),""))</f>
        <v/>
      </c>
      <c r="D511" s="32" t="str">
        <f t="array" ref="D511">IF($C511="","",IFERROR(INDEX(Estimasi!$M$2:$M$1000,MATCH($C511,Estimasi!$L$2:$L$1000,0)),""))</f>
        <v/>
      </c>
      <c r="E511" s="32"/>
      <c r="F511" s="32" t="str">
        <f t="shared" si="4"/>
        <v/>
      </c>
      <c r="G511" s="11" t="str">
        <f t="shared" si="5"/>
        <v/>
      </c>
    </row>
    <row r="512" ht="15.75" customHeight="1">
      <c r="A512" s="52"/>
      <c r="B512" s="11"/>
      <c r="C512" s="11" t="str">
        <f t="array" ref="C512">IF($B512="","",IFERROR(INDEX(Estimasi!$I$2:$I$1000,MATCH($B512,Estimasi!$H$2:$H$1000,0)),""))</f>
        <v/>
      </c>
      <c r="D512" s="32" t="str">
        <f t="array" ref="D512">IF($C512="","",IFERROR(INDEX(Estimasi!$M$2:$M$1000,MATCH($C512,Estimasi!$L$2:$L$1000,0)),""))</f>
        <v/>
      </c>
      <c r="E512" s="32"/>
      <c r="F512" s="32" t="str">
        <f t="shared" si="4"/>
        <v/>
      </c>
      <c r="G512" s="11" t="str">
        <f t="shared" si="5"/>
        <v/>
      </c>
    </row>
    <row r="513" ht="15.75" customHeight="1">
      <c r="A513" s="52"/>
      <c r="B513" s="11"/>
      <c r="C513" s="11" t="str">
        <f t="array" ref="C513">IF($B513="","",IFERROR(INDEX(Estimasi!$I$2:$I$1000,MATCH($B513,Estimasi!$H$2:$H$1000,0)),""))</f>
        <v/>
      </c>
      <c r="D513" s="32" t="str">
        <f t="array" ref="D513">IF($C513="","",IFERROR(INDEX(Estimasi!$M$2:$M$1000,MATCH($C513,Estimasi!$L$2:$L$1000,0)),""))</f>
        <v/>
      </c>
      <c r="E513" s="32"/>
      <c r="F513" s="32" t="str">
        <f t="shared" si="4"/>
        <v/>
      </c>
      <c r="G513" s="11" t="str">
        <f t="shared" si="5"/>
        <v/>
      </c>
    </row>
    <row r="514" ht="15.75" customHeight="1">
      <c r="A514" s="52"/>
      <c r="B514" s="11"/>
      <c r="C514" s="11" t="str">
        <f t="array" ref="C514">IF($B514="","",IFERROR(INDEX(Estimasi!$I$2:$I$1000,MATCH($B514,Estimasi!$H$2:$H$1000,0)),""))</f>
        <v/>
      </c>
      <c r="D514" s="32" t="str">
        <f t="array" ref="D514">IF($C514="","",IFERROR(INDEX(Estimasi!$M$2:$M$1000,MATCH($C514,Estimasi!$L$2:$L$1000,0)),""))</f>
        <v/>
      </c>
      <c r="E514" s="32"/>
      <c r="F514" s="32" t="str">
        <f t="shared" si="4"/>
        <v/>
      </c>
      <c r="G514" s="11" t="str">
        <f t="shared" si="5"/>
        <v/>
      </c>
    </row>
    <row r="515" ht="15.75" customHeight="1">
      <c r="A515" s="52"/>
      <c r="B515" s="11"/>
      <c r="C515" s="11" t="str">
        <f t="array" ref="C515">IF($B515="","",IFERROR(INDEX(Estimasi!$I$2:$I$1000,MATCH($B515,Estimasi!$H$2:$H$1000,0)),""))</f>
        <v/>
      </c>
      <c r="D515" s="32" t="str">
        <f t="array" ref="D515">IF($C515="","",IFERROR(INDEX(Estimasi!$M$2:$M$1000,MATCH($C515,Estimasi!$L$2:$L$1000,0)),""))</f>
        <v/>
      </c>
      <c r="E515" s="32"/>
      <c r="F515" s="32" t="str">
        <f t="shared" si="4"/>
        <v/>
      </c>
      <c r="G515" s="11" t="str">
        <f t="shared" si="5"/>
        <v/>
      </c>
    </row>
    <row r="516" ht="15.75" customHeight="1">
      <c r="A516" s="52"/>
      <c r="B516" s="11"/>
      <c r="C516" s="11" t="str">
        <f t="array" ref="C516">IF($B516="","",IFERROR(INDEX(Estimasi!$I$2:$I$1000,MATCH($B516,Estimasi!$H$2:$H$1000,0)),""))</f>
        <v/>
      </c>
      <c r="D516" s="32" t="str">
        <f t="array" ref="D516">IF($C516="","",IFERROR(INDEX(Estimasi!$M$2:$M$1000,MATCH($C516,Estimasi!$L$2:$L$1000,0)),""))</f>
        <v/>
      </c>
      <c r="E516" s="32"/>
      <c r="F516" s="32" t="str">
        <f t="shared" si="4"/>
        <v/>
      </c>
      <c r="G516" s="11" t="str">
        <f t="shared" si="5"/>
        <v/>
      </c>
    </row>
    <row r="517" ht="15.75" customHeight="1">
      <c r="A517" s="52"/>
      <c r="B517" s="11"/>
      <c r="C517" s="11" t="str">
        <f t="array" ref="C517">IF($B517="","",IFERROR(INDEX(Estimasi!$I$2:$I$1000,MATCH($B517,Estimasi!$H$2:$H$1000,0)),""))</f>
        <v/>
      </c>
      <c r="D517" s="32" t="str">
        <f t="array" ref="D517">IF($C517="","",IFERROR(INDEX(Estimasi!$M$2:$M$1000,MATCH($C517,Estimasi!$L$2:$L$1000,0)),""))</f>
        <v/>
      </c>
      <c r="E517" s="32"/>
      <c r="F517" s="32" t="str">
        <f t="shared" si="4"/>
        <v/>
      </c>
      <c r="G517" s="11" t="str">
        <f t="shared" si="5"/>
        <v/>
      </c>
    </row>
    <row r="518" ht="15.75" customHeight="1">
      <c r="A518" s="52"/>
      <c r="B518" s="11"/>
      <c r="C518" s="11" t="str">
        <f t="array" ref="C518">IF($B518="","",IFERROR(INDEX(Estimasi!$I$2:$I$1000,MATCH($B518,Estimasi!$H$2:$H$1000,0)),""))</f>
        <v/>
      </c>
      <c r="D518" s="32" t="str">
        <f t="array" ref="D518">IF($C518="","",IFERROR(INDEX(Estimasi!$M$2:$M$1000,MATCH($C518,Estimasi!$L$2:$L$1000,0)),""))</f>
        <v/>
      </c>
      <c r="E518" s="32"/>
      <c r="F518" s="32" t="str">
        <f t="shared" si="4"/>
        <v/>
      </c>
      <c r="G518" s="11" t="str">
        <f t="shared" si="5"/>
        <v/>
      </c>
    </row>
    <row r="519" ht="15.75" customHeight="1">
      <c r="A519" s="52"/>
      <c r="B519" s="11"/>
      <c r="C519" s="11" t="str">
        <f t="array" ref="C519">IF($B519="","",IFERROR(INDEX(Estimasi!$I$2:$I$1000,MATCH($B519,Estimasi!$H$2:$H$1000,0)),""))</f>
        <v/>
      </c>
      <c r="D519" s="32" t="str">
        <f t="array" ref="D519">IF($C519="","",IFERROR(INDEX(Estimasi!$M$2:$M$1000,MATCH($C519,Estimasi!$L$2:$L$1000,0)),""))</f>
        <v/>
      </c>
      <c r="E519" s="32"/>
      <c r="F519" s="32" t="str">
        <f t="shared" si="4"/>
        <v/>
      </c>
      <c r="G519" s="11" t="str">
        <f t="shared" si="5"/>
        <v/>
      </c>
    </row>
    <row r="520" ht="15.75" customHeight="1">
      <c r="A520" s="52"/>
      <c r="B520" s="11"/>
      <c r="C520" s="11" t="str">
        <f t="array" ref="C520">IF($B520="","",IFERROR(INDEX(Estimasi!$I$2:$I$1000,MATCH($B520,Estimasi!$H$2:$H$1000,0)),""))</f>
        <v/>
      </c>
      <c r="D520" s="32" t="str">
        <f t="array" ref="D520">IF($C520="","",IFERROR(INDEX(Estimasi!$M$2:$M$1000,MATCH($C520,Estimasi!$L$2:$L$1000,0)),""))</f>
        <v/>
      </c>
      <c r="E520" s="32"/>
      <c r="F520" s="32" t="str">
        <f t="shared" si="4"/>
        <v/>
      </c>
      <c r="G520" s="11" t="str">
        <f t="shared" si="5"/>
        <v/>
      </c>
    </row>
    <row r="521" ht="15.75" customHeight="1">
      <c r="A521" s="52"/>
      <c r="B521" s="11"/>
      <c r="C521" s="11" t="str">
        <f t="array" ref="C521">IF($B521="","",IFERROR(INDEX(Estimasi!$I$2:$I$1000,MATCH($B521,Estimasi!$H$2:$H$1000,0)),""))</f>
        <v/>
      </c>
      <c r="D521" s="32" t="str">
        <f t="array" ref="D521">IF($C521="","",IFERROR(INDEX(Estimasi!$M$2:$M$1000,MATCH($C521,Estimasi!$L$2:$L$1000,0)),""))</f>
        <v/>
      </c>
      <c r="E521" s="32"/>
      <c r="F521" s="32" t="str">
        <f t="shared" si="4"/>
        <v/>
      </c>
      <c r="G521" s="11" t="str">
        <f t="shared" si="5"/>
        <v/>
      </c>
    </row>
    <row r="522" ht="15.75" customHeight="1">
      <c r="A522" s="52"/>
      <c r="B522" s="11"/>
      <c r="C522" s="11" t="str">
        <f t="array" ref="C522">IF($B522="","",IFERROR(INDEX(Estimasi!$I$2:$I$1000,MATCH($B522,Estimasi!$H$2:$H$1000,0)),""))</f>
        <v/>
      </c>
      <c r="D522" s="32" t="str">
        <f t="array" ref="D522">IF($C522="","",IFERROR(INDEX(Estimasi!$M$2:$M$1000,MATCH($C522,Estimasi!$L$2:$L$1000,0)),""))</f>
        <v/>
      </c>
      <c r="E522" s="32"/>
      <c r="F522" s="32" t="str">
        <f t="shared" si="4"/>
        <v/>
      </c>
      <c r="G522" s="11" t="str">
        <f t="shared" si="5"/>
        <v/>
      </c>
    </row>
    <row r="523" ht="15.75" customHeight="1">
      <c r="A523" s="52"/>
      <c r="B523" s="11"/>
      <c r="C523" s="11" t="str">
        <f t="array" ref="C523">IF($B523="","",IFERROR(INDEX(Estimasi!$I$2:$I$1000,MATCH($B523,Estimasi!$H$2:$H$1000,0)),""))</f>
        <v/>
      </c>
      <c r="D523" s="32" t="str">
        <f t="array" ref="D523">IF($C523="","",IFERROR(INDEX(Estimasi!$M$2:$M$1000,MATCH($C523,Estimasi!$L$2:$L$1000,0)),""))</f>
        <v/>
      </c>
      <c r="E523" s="32"/>
      <c r="F523" s="32" t="str">
        <f t="shared" si="4"/>
        <v/>
      </c>
      <c r="G523" s="11" t="str">
        <f t="shared" si="5"/>
        <v/>
      </c>
    </row>
    <row r="524" ht="15.75" customHeight="1">
      <c r="A524" s="52"/>
      <c r="B524" s="11"/>
      <c r="C524" s="11" t="str">
        <f t="array" ref="C524">IF($B524="","",IFERROR(INDEX(Estimasi!$I$2:$I$1000,MATCH($B524,Estimasi!$H$2:$H$1000,0)),""))</f>
        <v/>
      </c>
      <c r="D524" s="32" t="str">
        <f t="array" ref="D524">IF($C524="","",IFERROR(INDEX(Estimasi!$M$2:$M$1000,MATCH($C524,Estimasi!$L$2:$L$1000,0)),""))</f>
        <v/>
      </c>
      <c r="E524" s="32"/>
      <c r="F524" s="32" t="str">
        <f t="shared" si="4"/>
        <v/>
      </c>
      <c r="G524" s="11" t="str">
        <f t="shared" si="5"/>
        <v/>
      </c>
    </row>
    <row r="525" ht="15.75" customHeight="1">
      <c r="A525" s="52"/>
      <c r="B525" s="11"/>
      <c r="C525" s="11" t="str">
        <f t="array" ref="C525">IF($B525="","",IFERROR(INDEX(Estimasi!$I$2:$I$1000,MATCH($B525,Estimasi!$H$2:$H$1000,0)),""))</f>
        <v/>
      </c>
      <c r="D525" s="32" t="str">
        <f t="array" ref="D525">IF($C525="","",IFERROR(INDEX(Estimasi!$M$2:$M$1000,MATCH($C525,Estimasi!$L$2:$L$1000,0)),""))</f>
        <v/>
      </c>
      <c r="E525" s="32"/>
      <c r="F525" s="32" t="str">
        <f t="shared" si="4"/>
        <v/>
      </c>
      <c r="G525" s="11" t="str">
        <f t="shared" si="5"/>
        <v/>
      </c>
    </row>
    <row r="526" ht="15.75" customHeight="1">
      <c r="A526" s="52"/>
      <c r="B526" s="11"/>
      <c r="C526" s="11" t="str">
        <f t="array" ref="C526">IF($B526="","",IFERROR(INDEX(Estimasi!$I$2:$I$1000,MATCH($B526,Estimasi!$H$2:$H$1000,0)),""))</f>
        <v/>
      </c>
      <c r="D526" s="32" t="str">
        <f t="array" ref="D526">IF($C526="","",IFERROR(INDEX(Estimasi!$M$2:$M$1000,MATCH($C526,Estimasi!$L$2:$L$1000,0)),""))</f>
        <v/>
      </c>
      <c r="E526" s="32"/>
      <c r="F526" s="32" t="str">
        <f t="shared" si="4"/>
        <v/>
      </c>
      <c r="G526" s="11" t="str">
        <f t="shared" si="5"/>
        <v/>
      </c>
    </row>
    <row r="527" ht="15.75" customHeight="1">
      <c r="A527" s="52"/>
      <c r="B527" s="11"/>
      <c r="C527" s="11" t="str">
        <f t="array" ref="C527">IF($B527="","",IFERROR(INDEX(Estimasi!$I$2:$I$1000,MATCH($B527,Estimasi!$H$2:$H$1000,0)),""))</f>
        <v/>
      </c>
      <c r="D527" s="32" t="str">
        <f t="array" ref="D527">IF($C527="","",IFERROR(INDEX(Estimasi!$M$2:$M$1000,MATCH($C527,Estimasi!$L$2:$L$1000,0)),""))</f>
        <v/>
      </c>
      <c r="E527" s="32"/>
      <c r="F527" s="32" t="str">
        <f t="shared" si="4"/>
        <v/>
      </c>
      <c r="G527" s="11" t="str">
        <f t="shared" si="5"/>
        <v/>
      </c>
    </row>
    <row r="528" ht="15.75" customHeight="1">
      <c r="A528" s="52"/>
      <c r="B528" s="11"/>
      <c r="C528" s="11" t="str">
        <f t="array" ref="C528">IF($B528="","",IFERROR(INDEX(Estimasi!$I$2:$I$1000,MATCH($B528,Estimasi!$H$2:$H$1000,0)),""))</f>
        <v/>
      </c>
      <c r="D528" s="32" t="str">
        <f t="array" ref="D528">IF($C528="","",IFERROR(INDEX(Estimasi!$M$2:$M$1000,MATCH($C528,Estimasi!$L$2:$L$1000,0)),""))</f>
        <v/>
      </c>
      <c r="E528" s="32"/>
      <c r="F528" s="32" t="str">
        <f t="shared" si="4"/>
        <v/>
      </c>
      <c r="G528" s="11" t="str">
        <f t="shared" si="5"/>
        <v/>
      </c>
    </row>
    <row r="529" ht="15.75" customHeight="1">
      <c r="A529" s="52"/>
      <c r="B529" s="11"/>
      <c r="C529" s="11" t="str">
        <f t="array" ref="C529">IF($B529="","",IFERROR(INDEX(Estimasi!$I$2:$I$1000,MATCH($B529,Estimasi!$H$2:$H$1000,0)),""))</f>
        <v/>
      </c>
      <c r="D529" s="32" t="str">
        <f t="array" ref="D529">IF($C529="","",IFERROR(INDEX(Estimasi!$M$2:$M$1000,MATCH($C529,Estimasi!$L$2:$L$1000,0)),""))</f>
        <v/>
      </c>
      <c r="E529" s="32"/>
      <c r="F529" s="32" t="str">
        <f t="shared" si="4"/>
        <v/>
      </c>
      <c r="G529" s="11" t="str">
        <f t="shared" si="5"/>
        <v/>
      </c>
    </row>
    <row r="530" ht="15.75" customHeight="1">
      <c r="A530" s="52"/>
      <c r="B530" s="11"/>
      <c r="C530" s="11" t="str">
        <f t="array" ref="C530">IF($B530="","",IFERROR(INDEX(Estimasi!$I$2:$I$1000,MATCH($B530,Estimasi!$H$2:$H$1000,0)),""))</f>
        <v/>
      </c>
      <c r="D530" s="32" t="str">
        <f t="array" ref="D530">IF($C530="","",IFERROR(INDEX(Estimasi!$M$2:$M$1000,MATCH($C530,Estimasi!$L$2:$L$1000,0)),""))</f>
        <v/>
      </c>
      <c r="E530" s="32"/>
      <c r="F530" s="32" t="str">
        <f t="shared" si="4"/>
        <v/>
      </c>
      <c r="G530" s="11" t="str">
        <f t="shared" si="5"/>
        <v/>
      </c>
    </row>
    <row r="531" ht="15.75" customHeight="1">
      <c r="A531" s="52"/>
      <c r="B531" s="11"/>
      <c r="C531" s="11" t="str">
        <f t="array" ref="C531">IF($B531="","",IFERROR(INDEX(Estimasi!$I$2:$I$1000,MATCH($B531,Estimasi!$H$2:$H$1000,0)),""))</f>
        <v/>
      </c>
      <c r="D531" s="32" t="str">
        <f t="array" ref="D531">IF($C531="","",IFERROR(INDEX(Estimasi!$M$2:$M$1000,MATCH($C531,Estimasi!$L$2:$L$1000,0)),""))</f>
        <v/>
      </c>
      <c r="E531" s="32"/>
      <c r="F531" s="32" t="str">
        <f t="shared" si="4"/>
        <v/>
      </c>
      <c r="G531" s="11" t="str">
        <f t="shared" si="5"/>
        <v/>
      </c>
    </row>
    <row r="532" ht="15.75" customHeight="1">
      <c r="A532" s="52"/>
      <c r="B532" s="11"/>
      <c r="C532" s="11" t="str">
        <f t="array" ref="C532">IF($B532="","",IFERROR(INDEX(Estimasi!$I$2:$I$1000,MATCH($B532,Estimasi!$H$2:$H$1000,0)),""))</f>
        <v/>
      </c>
      <c r="D532" s="32" t="str">
        <f t="array" ref="D532">IF($C532="","",IFERROR(INDEX(Estimasi!$M$2:$M$1000,MATCH($C532,Estimasi!$L$2:$L$1000,0)),""))</f>
        <v/>
      </c>
      <c r="E532" s="32"/>
      <c r="F532" s="32" t="str">
        <f t="shared" si="4"/>
        <v/>
      </c>
      <c r="G532" s="11" t="str">
        <f t="shared" si="5"/>
        <v/>
      </c>
    </row>
    <row r="533" ht="15.75" customHeight="1">
      <c r="A533" s="52"/>
      <c r="B533" s="11"/>
      <c r="C533" s="11" t="str">
        <f t="array" ref="C533">IF($B533="","",IFERROR(INDEX(Estimasi!$I$2:$I$1000,MATCH($B533,Estimasi!$H$2:$H$1000,0)),""))</f>
        <v/>
      </c>
      <c r="D533" s="32" t="str">
        <f t="array" ref="D533">IF($C533="","",IFERROR(INDEX(Estimasi!$M$2:$M$1000,MATCH($C533,Estimasi!$L$2:$L$1000,0)),""))</f>
        <v/>
      </c>
      <c r="E533" s="32"/>
      <c r="F533" s="32" t="str">
        <f t="shared" si="4"/>
        <v/>
      </c>
      <c r="G533" s="11" t="str">
        <f t="shared" si="5"/>
        <v/>
      </c>
    </row>
    <row r="534" ht="15.75" customHeight="1">
      <c r="A534" s="52"/>
      <c r="B534" s="11"/>
      <c r="C534" s="11" t="str">
        <f t="array" ref="C534">IF($B534="","",IFERROR(INDEX(Estimasi!$I$2:$I$1000,MATCH($B534,Estimasi!$H$2:$H$1000,0)),""))</f>
        <v/>
      </c>
      <c r="D534" s="32" t="str">
        <f t="array" ref="D534">IF($C534="","",IFERROR(INDEX(Estimasi!$M$2:$M$1000,MATCH($C534,Estimasi!$L$2:$L$1000,0)),""))</f>
        <v/>
      </c>
      <c r="E534" s="32"/>
      <c r="F534" s="32" t="str">
        <f t="shared" si="4"/>
        <v/>
      </c>
      <c r="G534" s="11" t="str">
        <f t="shared" si="5"/>
        <v/>
      </c>
    </row>
    <row r="535" ht="15.75" customHeight="1">
      <c r="A535" s="52"/>
      <c r="B535" s="11"/>
      <c r="C535" s="11" t="str">
        <f t="array" ref="C535">IF($B535="","",IFERROR(INDEX(Estimasi!$I$2:$I$1000,MATCH($B535,Estimasi!$H$2:$H$1000,0)),""))</f>
        <v/>
      </c>
      <c r="D535" s="32" t="str">
        <f t="array" ref="D535">IF($C535="","",IFERROR(INDEX(Estimasi!$M$2:$M$1000,MATCH($C535,Estimasi!$L$2:$L$1000,0)),""))</f>
        <v/>
      </c>
      <c r="E535" s="32"/>
      <c r="F535" s="32" t="str">
        <f t="shared" si="4"/>
        <v/>
      </c>
      <c r="G535" s="11" t="str">
        <f t="shared" si="5"/>
        <v/>
      </c>
    </row>
    <row r="536" ht="15.75" customHeight="1">
      <c r="A536" s="52"/>
      <c r="B536" s="11"/>
      <c r="C536" s="11" t="str">
        <f t="array" ref="C536">IF($B536="","",IFERROR(INDEX(Estimasi!$I$2:$I$1000,MATCH($B536,Estimasi!$H$2:$H$1000,0)),""))</f>
        <v/>
      </c>
      <c r="D536" s="32" t="str">
        <f t="array" ref="D536">IF($C536="","",IFERROR(INDEX(Estimasi!$M$2:$M$1000,MATCH($C536,Estimasi!$L$2:$L$1000,0)),""))</f>
        <v/>
      </c>
      <c r="E536" s="32"/>
      <c r="F536" s="32" t="str">
        <f t="shared" si="4"/>
        <v/>
      </c>
      <c r="G536" s="11" t="str">
        <f t="shared" si="5"/>
        <v/>
      </c>
    </row>
    <row r="537" ht="15.75" customHeight="1">
      <c r="A537" s="52"/>
      <c r="B537" s="11"/>
      <c r="C537" s="11" t="str">
        <f t="array" ref="C537">IF($B537="","",IFERROR(INDEX(Estimasi!$I$2:$I$1000,MATCH($B537,Estimasi!$H$2:$H$1000,0)),""))</f>
        <v/>
      </c>
      <c r="D537" s="32" t="str">
        <f t="array" ref="D537">IF($C537="","",IFERROR(INDEX(Estimasi!$M$2:$M$1000,MATCH($C537,Estimasi!$L$2:$L$1000,0)),""))</f>
        <v/>
      </c>
      <c r="E537" s="32"/>
      <c r="F537" s="32" t="str">
        <f t="shared" si="4"/>
        <v/>
      </c>
      <c r="G537" s="11" t="str">
        <f t="shared" si="5"/>
        <v/>
      </c>
    </row>
    <row r="538" ht="15.75" customHeight="1">
      <c r="A538" s="52"/>
      <c r="B538" s="11"/>
      <c r="C538" s="11" t="str">
        <f t="array" ref="C538">IF($B538="","",IFERROR(INDEX(Estimasi!$I$2:$I$1000,MATCH($B538,Estimasi!$H$2:$H$1000,0)),""))</f>
        <v/>
      </c>
      <c r="D538" s="32" t="str">
        <f t="array" ref="D538">IF($C538="","",IFERROR(INDEX(Estimasi!$M$2:$M$1000,MATCH($C538,Estimasi!$L$2:$L$1000,0)),""))</f>
        <v/>
      </c>
      <c r="E538" s="32"/>
      <c r="F538" s="32" t="str">
        <f t="shared" si="4"/>
        <v/>
      </c>
      <c r="G538" s="11" t="str">
        <f t="shared" si="5"/>
        <v/>
      </c>
    </row>
    <row r="539" ht="15.75" customHeight="1">
      <c r="A539" s="52"/>
      <c r="B539" s="11"/>
      <c r="C539" s="11" t="str">
        <f t="array" ref="C539">IF($B539="","",IFERROR(INDEX(Estimasi!$I$2:$I$1000,MATCH($B539,Estimasi!$H$2:$H$1000,0)),""))</f>
        <v/>
      </c>
      <c r="D539" s="32" t="str">
        <f t="array" ref="D539">IF($C539="","",IFERROR(INDEX(Estimasi!$M$2:$M$1000,MATCH($C539,Estimasi!$L$2:$L$1000,0)),""))</f>
        <v/>
      </c>
      <c r="E539" s="32"/>
      <c r="F539" s="32" t="str">
        <f t="shared" si="4"/>
        <v/>
      </c>
      <c r="G539" s="11" t="str">
        <f t="shared" si="5"/>
        <v/>
      </c>
    </row>
    <row r="540" ht="15.75" customHeight="1">
      <c r="A540" s="52"/>
      <c r="B540" s="11"/>
      <c r="C540" s="11" t="str">
        <f t="array" ref="C540">IF($B540="","",IFERROR(INDEX(Estimasi!$I$2:$I$1000,MATCH($B540,Estimasi!$H$2:$H$1000,0)),""))</f>
        <v/>
      </c>
      <c r="D540" s="32" t="str">
        <f t="array" ref="D540">IF($C540="","",IFERROR(INDEX(Estimasi!$M$2:$M$1000,MATCH($C540,Estimasi!$L$2:$L$1000,0)),""))</f>
        <v/>
      </c>
      <c r="E540" s="32"/>
      <c r="F540" s="32" t="str">
        <f t="shared" si="4"/>
        <v/>
      </c>
      <c r="G540" s="11" t="str">
        <f t="shared" si="5"/>
        <v/>
      </c>
    </row>
    <row r="541" ht="15.75" customHeight="1">
      <c r="A541" s="52"/>
      <c r="B541" s="11"/>
      <c r="C541" s="11" t="str">
        <f t="array" ref="C541">IF($B541="","",IFERROR(INDEX(Estimasi!$I$2:$I$1000,MATCH($B541,Estimasi!$H$2:$H$1000,0)),""))</f>
        <v/>
      </c>
      <c r="D541" s="32" t="str">
        <f t="array" ref="D541">IF($C541="","",IFERROR(INDEX(Estimasi!$M$2:$M$1000,MATCH($C541,Estimasi!$L$2:$L$1000,0)),""))</f>
        <v/>
      </c>
      <c r="E541" s="32"/>
      <c r="F541" s="32" t="str">
        <f t="shared" si="4"/>
        <v/>
      </c>
      <c r="G541" s="11" t="str">
        <f t="shared" si="5"/>
        <v/>
      </c>
    </row>
    <row r="542" ht="15.75" customHeight="1">
      <c r="A542" s="52"/>
      <c r="B542" s="11"/>
      <c r="C542" s="11" t="str">
        <f t="array" ref="C542">IF($B542="","",IFERROR(INDEX(Estimasi!$I$2:$I$1000,MATCH($B542,Estimasi!$H$2:$H$1000,0)),""))</f>
        <v/>
      </c>
      <c r="D542" s="32" t="str">
        <f t="array" ref="D542">IF($C542="","",IFERROR(INDEX(Estimasi!$M$2:$M$1000,MATCH($C542,Estimasi!$L$2:$L$1000,0)),""))</f>
        <v/>
      </c>
      <c r="E542" s="32"/>
      <c r="F542" s="32" t="str">
        <f t="shared" si="4"/>
        <v/>
      </c>
      <c r="G542" s="11" t="str">
        <f t="shared" si="5"/>
        <v/>
      </c>
    </row>
    <row r="543" ht="15.75" customHeight="1">
      <c r="A543" s="52"/>
      <c r="B543" s="11"/>
      <c r="C543" s="11" t="str">
        <f t="array" ref="C543">IF($B543="","",IFERROR(INDEX(Estimasi!$I$2:$I$1000,MATCH($B543,Estimasi!$H$2:$H$1000,0)),""))</f>
        <v/>
      </c>
      <c r="D543" s="32" t="str">
        <f t="array" ref="D543">IF($C543="","",IFERROR(INDEX(Estimasi!$M$2:$M$1000,MATCH($C543,Estimasi!$L$2:$L$1000,0)),""))</f>
        <v/>
      </c>
      <c r="E543" s="32"/>
      <c r="F543" s="32" t="str">
        <f t="shared" si="4"/>
        <v/>
      </c>
      <c r="G543" s="11" t="str">
        <f t="shared" si="5"/>
        <v/>
      </c>
    </row>
    <row r="544" ht="15.75" customHeight="1">
      <c r="A544" s="52"/>
      <c r="B544" s="11"/>
      <c r="C544" s="11" t="str">
        <f t="array" ref="C544">IF($B544="","",IFERROR(INDEX(Estimasi!$I$2:$I$1000,MATCH($B544,Estimasi!$H$2:$H$1000,0)),""))</f>
        <v/>
      </c>
      <c r="D544" s="32" t="str">
        <f t="array" ref="D544">IF($C544="","",IFERROR(INDEX(Estimasi!$M$2:$M$1000,MATCH($C544,Estimasi!$L$2:$L$1000,0)),""))</f>
        <v/>
      </c>
      <c r="E544" s="32"/>
      <c r="F544" s="32" t="str">
        <f t="shared" si="4"/>
        <v/>
      </c>
      <c r="G544" s="11" t="str">
        <f t="shared" si="5"/>
        <v/>
      </c>
    </row>
    <row r="545" ht="15.75" customHeight="1">
      <c r="A545" s="52"/>
      <c r="B545" s="11"/>
      <c r="C545" s="11" t="str">
        <f t="array" ref="C545">IF($B545="","",IFERROR(INDEX(Estimasi!$I$2:$I$1000,MATCH($B545,Estimasi!$H$2:$H$1000,0)),""))</f>
        <v/>
      </c>
      <c r="D545" s="32" t="str">
        <f t="array" ref="D545">IF($C545="","",IFERROR(INDEX(Estimasi!$M$2:$M$1000,MATCH($C545,Estimasi!$L$2:$L$1000,0)),""))</f>
        <v/>
      </c>
      <c r="E545" s="32"/>
      <c r="F545" s="32" t="str">
        <f t="shared" si="4"/>
        <v/>
      </c>
      <c r="G545" s="11" t="str">
        <f t="shared" si="5"/>
        <v/>
      </c>
    </row>
    <row r="546" ht="15.75" customHeight="1">
      <c r="A546" s="52"/>
      <c r="B546" s="11"/>
      <c r="C546" s="11" t="str">
        <f t="array" ref="C546">IF($B546="","",IFERROR(INDEX(Estimasi!$I$2:$I$1000,MATCH($B546,Estimasi!$H$2:$H$1000,0)),""))</f>
        <v/>
      </c>
      <c r="D546" s="32" t="str">
        <f t="array" ref="D546">IF($C546="","",IFERROR(INDEX(Estimasi!$M$2:$M$1000,MATCH($C546,Estimasi!$L$2:$L$1000,0)),""))</f>
        <v/>
      </c>
      <c r="E546" s="32"/>
      <c r="F546" s="32" t="str">
        <f t="shared" si="4"/>
        <v/>
      </c>
      <c r="G546" s="11" t="str">
        <f t="shared" si="5"/>
        <v/>
      </c>
    </row>
    <row r="547" ht="15.75" customHeight="1">
      <c r="A547" s="52"/>
      <c r="B547" s="11"/>
      <c r="C547" s="11" t="str">
        <f t="array" ref="C547">IF($B547="","",IFERROR(INDEX(Estimasi!$I$2:$I$1000,MATCH($B547,Estimasi!$H$2:$H$1000,0)),""))</f>
        <v/>
      </c>
      <c r="D547" s="32" t="str">
        <f t="array" ref="D547">IF($C547="","",IFERROR(INDEX(Estimasi!$M$2:$M$1000,MATCH($C547,Estimasi!$L$2:$L$1000,0)),""))</f>
        <v/>
      </c>
      <c r="E547" s="32"/>
      <c r="F547" s="32" t="str">
        <f t="shared" si="4"/>
        <v/>
      </c>
      <c r="G547" s="11" t="str">
        <f t="shared" si="5"/>
        <v/>
      </c>
    </row>
    <row r="548" ht="15.75" customHeight="1">
      <c r="A548" s="52"/>
      <c r="B548" s="11"/>
      <c r="C548" s="11" t="str">
        <f t="array" ref="C548">IF($B548="","",IFERROR(INDEX(Estimasi!$I$2:$I$1000,MATCH($B548,Estimasi!$H$2:$H$1000,0)),""))</f>
        <v/>
      </c>
      <c r="D548" s="32" t="str">
        <f t="array" ref="D548">IF($C548="","",IFERROR(INDEX(Estimasi!$M$2:$M$1000,MATCH($C548,Estimasi!$L$2:$L$1000,0)),""))</f>
        <v/>
      </c>
      <c r="E548" s="32"/>
      <c r="F548" s="32" t="str">
        <f t="shared" si="4"/>
        <v/>
      </c>
      <c r="G548" s="11" t="str">
        <f t="shared" si="5"/>
        <v/>
      </c>
    </row>
    <row r="549" ht="15.75" customHeight="1">
      <c r="A549" s="52"/>
      <c r="B549" s="11"/>
      <c r="C549" s="11" t="str">
        <f t="array" ref="C549">IF($B549="","",IFERROR(INDEX(Estimasi!$I$2:$I$1000,MATCH($B549,Estimasi!$H$2:$H$1000,0)),""))</f>
        <v/>
      </c>
      <c r="D549" s="32" t="str">
        <f t="array" ref="D549">IF($C549="","",IFERROR(INDEX(Estimasi!$M$2:$M$1000,MATCH($C549,Estimasi!$L$2:$L$1000,0)),""))</f>
        <v/>
      </c>
      <c r="E549" s="32"/>
      <c r="F549" s="32" t="str">
        <f t="shared" si="4"/>
        <v/>
      </c>
      <c r="G549" s="11" t="str">
        <f t="shared" si="5"/>
        <v/>
      </c>
    </row>
    <row r="550" ht="15.75" customHeight="1">
      <c r="A550" s="52"/>
      <c r="B550" s="11"/>
      <c r="C550" s="11" t="str">
        <f t="array" ref="C550">IF($B550="","",IFERROR(INDEX(Estimasi!$I$2:$I$1000,MATCH($B550,Estimasi!$H$2:$H$1000,0)),""))</f>
        <v/>
      </c>
      <c r="D550" s="32" t="str">
        <f t="array" ref="D550">IF($C550="","",IFERROR(INDEX(Estimasi!$M$2:$M$1000,MATCH($C550,Estimasi!$L$2:$L$1000,0)),""))</f>
        <v/>
      </c>
      <c r="E550" s="32"/>
      <c r="F550" s="32" t="str">
        <f t="shared" si="4"/>
        <v/>
      </c>
      <c r="G550" s="11" t="str">
        <f t="shared" si="5"/>
        <v/>
      </c>
    </row>
    <row r="551" ht="15.75" customHeight="1">
      <c r="A551" s="52"/>
      <c r="B551" s="11"/>
      <c r="C551" s="11" t="str">
        <f t="array" ref="C551">IF($B551="","",IFERROR(INDEX(Estimasi!$I$2:$I$1000,MATCH($B551,Estimasi!$H$2:$H$1000,0)),""))</f>
        <v/>
      </c>
      <c r="D551" s="32" t="str">
        <f t="array" ref="D551">IF($C551="","",IFERROR(INDEX(Estimasi!$M$2:$M$1000,MATCH($C551,Estimasi!$L$2:$L$1000,0)),""))</f>
        <v/>
      </c>
      <c r="E551" s="32"/>
      <c r="F551" s="32" t="str">
        <f t="shared" si="4"/>
        <v/>
      </c>
      <c r="G551" s="11" t="str">
        <f t="shared" si="5"/>
        <v/>
      </c>
    </row>
    <row r="552" ht="15.75" customHeight="1">
      <c r="A552" s="52"/>
      <c r="B552" s="11"/>
      <c r="C552" s="11" t="str">
        <f t="array" ref="C552">IF($B552="","",IFERROR(INDEX(Estimasi!$I$2:$I$1000,MATCH($B552,Estimasi!$H$2:$H$1000,0)),""))</f>
        <v/>
      </c>
      <c r="D552" s="32" t="str">
        <f t="array" ref="D552">IF($C552="","",IFERROR(INDEX(Estimasi!$M$2:$M$1000,MATCH($C552,Estimasi!$L$2:$L$1000,0)),""))</f>
        <v/>
      </c>
      <c r="E552" s="32"/>
      <c r="F552" s="32" t="str">
        <f t="shared" si="4"/>
        <v/>
      </c>
      <c r="G552" s="11" t="str">
        <f t="shared" si="5"/>
        <v/>
      </c>
    </row>
    <row r="553" ht="15.75" customHeight="1">
      <c r="A553" s="52"/>
      <c r="B553" s="11"/>
      <c r="C553" s="11" t="str">
        <f t="array" ref="C553">IF($B553="","",IFERROR(INDEX(Estimasi!$I$2:$I$1000,MATCH($B553,Estimasi!$H$2:$H$1000,0)),""))</f>
        <v/>
      </c>
      <c r="D553" s="32" t="str">
        <f t="array" ref="D553">IF($C553="","",IFERROR(INDEX(Estimasi!$M$2:$M$1000,MATCH($C553,Estimasi!$L$2:$L$1000,0)),""))</f>
        <v/>
      </c>
      <c r="E553" s="32"/>
      <c r="F553" s="32" t="str">
        <f t="shared" si="4"/>
        <v/>
      </c>
      <c r="G553" s="11" t="str">
        <f t="shared" si="5"/>
        <v/>
      </c>
    </row>
    <row r="554" ht="15.75" customHeight="1">
      <c r="A554" s="52"/>
      <c r="B554" s="11"/>
      <c r="C554" s="11" t="str">
        <f t="array" ref="C554">IF($B554="","",IFERROR(INDEX(Estimasi!$I$2:$I$1000,MATCH($B554,Estimasi!$H$2:$H$1000,0)),""))</f>
        <v/>
      </c>
      <c r="D554" s="32" t="str">
        <f t="array" ref="D554">IF($C554="","",IFERROR(INDEX(Estimasi!$M$2:$M$1000,MATCH($C554,Estimasi!$L$2:$L$1000,0)),""))</f>
        <v/>
      </c>
      <c r="E554" s="32"/>
      <c r="F554" s="32" t="str">
        <f t="shared" si="4"/>
        <v/>
      </c>
      <c r="G554" s="11" t="str">
        <f t="shared" si="5"/>
        <v/>
      </c>
    </row>
    <row r="555" ht="15.75" customHeight="1">
      <c r="A555" s="52"/>
      <c r="B555" s="11"/>
      <c r="C555" s="11" t="str">
        <f t="array" ref="C555">IF($B555="","",IFERROR(INDEX(Estimasi!$I$2:$I$1000,MATCH($B555,Estimasi!$H$2:$H$1000,0)),""))</f>
        <v/>
      </c>
      <c r="D555" s="32" t="str">
        <f t="array" ref="D555">IF($C555="","",IFERROR(INDEX(Estimasi!$M$2:$M$1000,MATCH($C555,Estimasi!$L$2:$L$1000,0)),""))</f>
        <v/>
      </c>
      <c r="E555" s="32"/>
      <c r="F555" s="32" t="str">
        <f t="shared" si="4"/>
        <v/>
      </c>
      <c r="G555" s="11" t="str">
        <f t="shared" si="5"/>
        <v/>
      </c>
    </row>
    <row r="556" ht="15.75" customHeight="1">
      <c r="A556" s="52"/>
      <c r="B556" s="11"/>
      <c r="C556" s="11" t="str">
        <f t="array" ref="C556">IF($B556="","",IFERROR(INDEX(Estimasi!$I$2:$I$1000,MATCH($B556,Estimasi!$H$2:$H$1000,0)),""))</f>
        <v/>
      </c>
      <c r="D556" s="32" t="str">
        <f t="array" ref="D556">IF($C556="","",IFERROR(INDEX(Estimasi!$M$2:$M$1000,MATCH($C556,Estimasi!$L$2:$L$1000,0)),""))</f>
        <v/>
      </c>
      <c r="E556" s="32"/>
      <c r="F556" s="32" t="str">
        <f t="shared" si="4"/>
        <v/>
      </c>
      <c r="G556" s="11" t="str">
        <f t="shared" si="5"/>
        <v/>
      </c>
    </row>
    <row r="557" ht="15.75" customHeight="1">
      <c r="A557" s="52"/>
      <c r="B557" s="11"/>
      <c r="C557" s="11" t="str">
        <f t="array" ref="C557">IF($B557="","",IFERROR(INDEX(Estimasi!$I$2:$I$1000,MATCH($B557,Estimasi!$H$2:$H$1000,0)),""))</f>
        <v/>
      </c>
      <c r="D557" s="32" t="str">
        <f t="array" ref="D557">IF($C557="","",IFERROR(INDEX(Estimasi!$M$2:$M$1000,MATCH($C557,Estimasi!$L$2:$L$1000,0)),""))</f>
        <v/>
      </c>
      <c r="E557" s="32"/>
      <c r="F557" s="32" t="str">
        <f t="shared" si="4"/>
        <v/>
      </c>
      <c r="G557" s="11" t="str">
        <f t="shared" si="5"/>
        <v/>
      </c>
    </row>
    <row r="558" ht="15.75" customHeight="1">
      <c r="A558" s="52"/>
      <c r="B558" s="11"/>
      <c r="C558" s="11" t="str">
        <f t="array" ref="C558">IF($B558="","",IFERROR(INDEX(Estimasi!$I$2:$I$1000,MATCH($B558,Estimasi!$H$2:$H$1000,0)),""))</f>
        <v/>
      </c>
      <c r="D558" s="32" t="str">
        <f t="array" ref="D558">IF($C558="","",IFERROR(INDEX(Estimasi!$M$2:$M$1000,MATCH($C558,Estimasi!$L$2:$L$1000,0)),""))</f>
        <v/>
      </c>
      <c r="E558" s="32"/>
      <c r="F558" s="32" t="str">
        <f t="shared" si="4"/>
        <v/>
      </c>
      <c r="G558" s="11" t="str">
        <f t="shared" si="5"/>
        <v/>
      </c>
    </row>
    <row r="559" ht="15.75" customHeight="1">
      <c r="A559" s="52"/>
      <c r="B559" s="11"/>
      <c r="C559" s="11" t="str">
        <f t="array" ref="C559">IF($B559="","",IFERROR(INDEX(Estimasi!$I$2:$I$1000,MATCH($B559,Estimasi!$H$2:$H$1000,0)),""))</f>
        <v/>
      </c>
      <c r="D559" s="32" t="str">
        <f t="array" ref="D559">IF($C559="","",IFERROR(INDEX(Estimasi!$M$2:$M$1000,MATCH($C559,Estimasi!$L$2:$L$1000,0)),""))</f>
        <v/>
      </c>
      <c r="E559" s="32"/>
      <c r="F559" s="32" t="str">
        <f t="shared" si="4"/>
        <v/>
      </c>
      <c r="G559" s="11" t="str">
        <f t="shared" si="5"/>
        <v/>
      </c>
    </row>
    <row r="560" ht="15.75" customHeight="1">
      <c r="A560" s="52"/>
      <c r="B560" s="11"/>
      <c r="C560" s="11" t="str">
        <f t="array" ref="C560">IF($B560="","",IFERROR(INDEX(Estimasi!$I$2:$I$1000,MATCH($B560,Estimasi!$H$2:$H$1000,0)),""))</f>
        <v/>
      </c>
      <c r="D560" s="32" t="str">
        <f t="array" ref="D560">IF($C560="","",IFERROR(INDEX(Estimasi!$M$2:$M$1000,MATCH($C560,Estimasi!$L$2:$L$1000,0)),""))</f>
        <v/>
      </c>
      <c r="E560" s="32"/>
      <c r="F560" s="32" t="str">
        <f t="shared" si="4"/>
        <v/>
      </c>
      <c r="G560" s="11" t="str">
        <f t="shared" si="5"/>
        <v/>
      </c>
    </row>
    <row r="561" ht="15.75" customHeight="1">
      <c r="A561" s="52"/>
      <c r="B561" s="11"/>
      <c r="C561" s="11" t="str">
        <f t="array" ref="C561">IF($B561="","",IFERROR(INDEX(Estimasi!$I$2:$I$1000,MATCH($B561,Estimasi!$H$2:$H$1000,0)),""))</f>
        <v/>
      </c>
      <c r="D561" s="32" t="str">
        <f t="array" ref="D561">IF($C561="","",IFERROR(INDEX(Estimasi!$M$2:$M$1000,MATCH($C561,Estimasi!$L$2:$L$1000,0)),""))</f>
        <v/>
      </c>
      <c r="E561" s="32"/>
      <c r="F561" s="32" t="str">
        <f t="shared" si="4"/>
        <v/>
      </c>
      <c r="G561" s="11" t="str">
        <f t="shared" si="5"/>
        <v/>
      </c>
    </row>
    <row r="562" ht="15.75" customHeight="1">
      <c r="A562" s="52"/>
      <c r="B562" s="11"/>
      <c r="C562" s="11" t="str">
        <f t="array" ref="C562">IF($B562="","",IFERROR(INDEX(Estimasi!$I$2:$I$1000,MATCH($B562,Estimasi!$H$2:$H$1000,0)),""))</f>
        <v/>
      </c>
      <c r="D562" s="32" t="str">
        <f t="array" ref="D562">IF($C562="","",IFERROR(INDEX(Estimasi!$M$2:$M$1000,MATCH($C562,Estimasi!$L$2:$L$1000,0)),""))</f>
        <v/>
      </c>
      <c r="E562" s="32"/>
      <c r="F562" s="32" t="str">
        <f t="shared" si="4"/>
        <v/>
      </c>
      <c r="G562" s="11" t="str">
        <f t="shared" si="5"/>
        <v/>
      </c>
    </row>
    <row r="563" ht="15.75" customHeight="1">
      <c r="A563" s="52"/>
      <c r="B563" s="11"/>
      <c r="C563" s="11" t="str">
        <f t="array" ref="C563">IF($B563="","",IFERROR(INDEX(Estimasi!$I$2:$I$1000,MATCH($B563,Estimasi!$H$2:$H$1000,0)),""))</f>
        <v/>
      </c>
      <c r="D563" s="32" t="str">
        <f t="array" ref="D563">IF($C563="","",IFERROR(INDEX(Estimasi!$M$2:$M$1000,MATCH($C563,Estimasi!$L$2:$L$1000,0)),""))</f>
        <v/>
      </c>
      <c r="E563" s="32"/>
      <c r="F563" s="32" t="str">
        <f t="shared" si="4"/>
        <v/>
      </c>
      <c r="G563" s="11" t="str">
        <f t="shared" si="5"/>
        <v/>
      </c>
    </row>
    <row r="564" ht="15.75" customHeight="1">
      <c r="A564" s="52"/>
      <c r="B564" s="11"/>
      <c r="C564" s="11" t="str">
        <f t="array" ref="C564">IF($B564="","",IFERROR(INDEX(Estimasi!$I$2:$I$1000,MATCH($B564,Estimasi!$H$2:$H$1000,0)),""))</f>
        <v/>
      </c>
      <c r="D564" s="32" t="str">
        <f t="array" ref="D564">IF($C564="","",IFERROR(INDEX(Estimasi!$M$2:$M$1000,MATCH($C564,Estimasi!$L$2:$L$1000,0)),""))</f>
        <v/>
      </c>
      <c r="E564" s="32"/>
      <c r="F564" s="32" t="str">
        <f t="shared" si="4"/>
        <v/>
      </c>
      <c r="G564" s="11" t="str">
        <f t="shared" si="5"/>
        <v/>
      </c>
    </row>
    <row r="565" ht="15.75" customHeight="1">
      <c r="A565" s="52"/>
      <c r="B565" s="11"/>
      <c r="C565" s="11" t="str">
        <f t="array" ref="C565">IF($B565="","",IFERROR(INDEX(Estimasi!$I$2:$I$1000,MATCH($B565,Estimasi!$H$2:$H$1000,0)),""))</f>
        <v/>
      </c>
      <c r="D565" s="32" t="str">
        <f t="array" ref="D565">IF($C565="","",IFERROR(INDEX(Estimasi!$M$2:$M$1000,MATCH($C565,Estimasi!$L$2:$L$1000,0)),""))</f>
        <v/>
      </c>
      <c r="E565" s="32"/>
      <c r="F565" s="32" t="str">
        <f t="shared" si="4"/>
        <v/>
      </c>
      <c r="G565" s="11" t="str">
        <f t="shared" si="5"/>
        <v/>
      </c>
    </row>
    <row r="566" ht="15.75" customHeight="1">
      <c r="A566" s="52"/>
      <c r="B566" s="11"/>
      <c r="C566" s="11" t="str">
        <f t="array" ref="C566">IF($B566="","",IFERROR(INDEX(Estimasi!$I$2:$I$1000,MATCH($B566,Estimasi!$H$2:$H$1000,0)),""))</f>
        <v/>
      </c>
      <c r="D566" s="32" t="str">
        <f t="array" ref="D566">IF($C566="","",IFERROR(INDEX(Estimasi!$M$2:$M$1000,MATCH($C566,Estimasi!$L$2:$L$1000,0)),""))</f>
        <v/>
      </c>
      <c r="E566" s="32"/>
      <c r="F566" s="32" t="str">
        <f t="shared" si="4"/>
        <v/>
      </c>
      <c r="G566" s="11" t="str">
        <f t="shared" si="5"/>
        <v/>
      </c>
    </row>
    <row r="567" ht="15.75" customHeight="1">
      <c r="A567" s="52"/>
      <c r="B567" s="11"/>
      <c r="C567" s="11" t="str">
        <f t="array" ref="C567">IF($B567="","",IFERROR(INDEX(Estimasi!$I$2:$I$1000,MATCH($B567,Estimasi!$H$2:$H$1000,0)),""))</f>
        <v/>
      </c>
      <c r="D567" s="32" t="str">
        <f t="array" ref="D567">IF($C567="","",IFERROR(INDEX(Estimasi!$M$2:$M$1000,MATCH($C567,Estimasi!$L$2:$L$1000,0)),""))</f>
        <v/>
      </c>
      <c r="E567" s="32"/>
      <c r="F567" s="32" t="str">
        <f t="shared" si="4"/>
        <v/>
      </c>
      <c r="G567" s="11" t="str">
        <f t="shared" si="5"/>
        <v/>
      </c>
    </row>
    <row r="568" ht="15.75" customHeight="1">
      <c r="A568" s="52"/>
      <c r="B568" s="11"/>
      <c r="C568" s="11" t="str">
        <f t="array" ref="C568">IF($B568="","",IFERROR(INDEX(Estimasi!$I$2:$I$1000,MATCH($B568,Estimasi!$H$2:$H$1000,0)),""))</f>
        <v/>
      </c>
      <c r="D568" s="32" t="str">
        <f t="array" ref="D568">IF($C568="","",IFERROR(INDEX(Estimasi!$M$2:$M$1000,MATCH($C568,Estimasi!$L$2:$L$1000,0)),""))</f>
        <v/>
      </c>
      <c r="E568" s="32"/>
      <c r="F568" s="32" t="str">
        <f t="shared" si="4"/>
        <v/>
      </c>
      <c r="G568" s="11" t="str">
        <f t="shared" si="5"/>
        <v/>
      </c>
    </row>
    <row r="569" ht="15.75" customHeight="1">
      <c r="A569" s="52"/>
      <c r="B569" s="11"/>
      <c r="C569" s="11" t="str">
        <f t="array" ref="C569">IF($B569="","",IFERROR(INDEX(Estimasi!$I$2:$I$1000,MATCH($B569,Estimasi!$H$2:$H$1000,0)),""))</f>
        <v/>
      </c>
      <c r="D569" s="32" t="str">
        <f t="array" ref="D569">IF($C569="","",IFERROR(INDEX(Estimasi!$M$2:$M$1000,MATCH($C569,Estimasi!$L$2:$L$1000,0)),""))</f>
        <v/>
      </c>
      <c r="E569" s="32"/>
      <c r="F569" s="32" t="str">
        <f t="shared" si="4"/>
        <v/>
      </c>
      <c r="G569" s="11" t="str">
        <f t="shared" si="5"/>
        <v/>
      </c>
    </row>
    <row r="570" ht="15.75" customHeight="1">
      <c r="A570" s="52"/>
      <c r="B570" s="11"/>
      <c r="C570" s="11" t="str">
        <f t="array" ref="C570">IF($B570="","",IFERROR(INDEX(Estimasi!$I$2:$I$1000,MATCH($B570,Estimasi!$H$2:$H$1000,0)),""))</f>
        <v/>
      </c>
      <c r="D570" s="32" t="str">
        <f t="array" ref="D570">IF($C570="","",IFERROR(INDEX(Estimasi!$M$2:$M$1000,MATCH($C570,Estimasi!$L$2:$L$1000,0)),""))</f>
        <v/>
      </c>
      <c r="E570" s="32"/>
      <c r="F570" s="32" t="str">
        <f t="shared" si="4"/>
        <v/>
      </c>
      <c r="G570" s="11" t="str">
        <f t="shared" si="5"/>
        <v/>
      </c>
    </row>
    <row r="571" ht="15.75" customHeight="1">
      <c r="A571" s="52"/>
      <c r="B571" s="11"/>
      <c r="C571" s="11" t="str">
        <f t="array" ref="C571">IF($B571="","",IFERROR(INDEX(Estimasi!$I$2:$I$1000,MATCH($B571,Estimasi!$H$2:$H$1000,0)),""))</f>
        <v/>
      </c>
      <c r="D571" s="32" t="str">
        <f t="array" ref="D571">IF($C571="","",IFERROR(INDEX(Estimasi!$M$2:$M$1000,MATCH($C571,Estimasi!$L$2:$L$1000,0)),""))</f>
        <v/>
      </c>
      <c r="E571" s="32"/>
      <c r="F571" s="32" t="str">
        <f t="shared" si="4"/>
        <v/>
      </c>
      <c r="G571" s="11" t="str">
        <f t="shared" si="5"/>
        <v/>
      </c>
    </row>
    <row r="572" ht="15.75" customHeight="1">
      <c r="A572" s="52"/>
      <c r="B572" s="11"/>
      <c r="C572" s="11" t="str">
        <f t="array" ref="C572">IF($B572="","",IFERROR(INDEX(Estimasi!$I$2:$I$1000,MATCH($B572,Estimasi!$H$2:$H$1000,0)),""))</f>
        <v/>
      </c>
      <c r="D572" s="32" t="str">
        <f t="array" ref="D572">IF($C572="","",IFERROR(INDEX(Estimasi!$M$2:$M$1000,MATCH($C572,Estimasi!$L$2:$L$1000,0)),""))</f>
        <v/>
      </c>
      <c r="E572" s="32"/>
      <c r="F572" s="32" t="str">
        <f t="shared" si="4"/>
        <v/>
      </c>
      <c r="G572" s="11" t="str">
        <f t="shared" si="5"/>
        <v/>
      </c>
    </row>
    <row r="573" ht="15.75" customHeight="1">
      <c r="A573" s="52"/>
      <c r="B573" s="11"/>
      <c r="C573" s="11" t="str">
        <f t="array" ref="C573">IF($B573="","",IFERROR(INDEX(Estimasi!$I$2:$I$1000,MATCH($B573,Estimasi!$H$2:$H$1000,0)),""))</f>
        <v/>
      </c>
      <c r="D573" s="32" t="str">
        <f t="array" ref="D573">IF($C573="","",IFERROR(INDEX(Estimasi!$M$2:$M$1000,MATCH($C573,Estimasi!$L$2:$L$1000,0)),""))</f>
        <v/>
      </c>
      <c r="E573" s="32"/>
      <c r="F573" s="32" t="str">
        <f t="shared" si="4"/>
        <v/>
      </c>
      <c r="G573" s="11" t="str">
        <f t="shared" si="5"/>
        <v/>
      </c>
    </row>
    <row r="574" ht="15.75" customHeight="1">
      <c r="A574" s="52"/>
      <c r="B574" s="11"/>
      <c r="C574" s="11" t="str">
        <f t="array" ref="C574">IF($B574="","",IFERROR(INDEX(Estimasi!$I$2:$I$1000,MATCH($B574,Estimasi!$H$2:$H$1000,0)),""))</f>
        <v/>
      </c>
      <c r="D574" s="32" t="str">
        <f t="array" ref="D574">IF($C574="","",IFERROR(INDEX(Estimasi!$M$2:$M$1000,MATCH($C574,Estimasi!$L$2:$L$1000,0)),""))</f>
        <v/>
      </c>
      <c r="E574" s="32"/>
      <c r="F574" s="32" t="str">
        <f t="shared" si="4"/>
        <v/>
      </c>
      <c r="G574" s="11" t="str">
        <f t="shared" si="5"/>
        <v/>
      </c>
    </row>
    <row r="575" ht="15.75" customHeight="1">
      <c r="A575" s="52"/>
      <c r="B575" s="11"/>
      <c r="C575" s="11" t="str">
        <f t="array" ref="C575">IF($B575="","",IFERROR(INDEX(Estimasi!$I$2:$I$1000,MATCH($B575,Estimasi!$H$2:$H$1000,0)),""))</f>
        <v/>
      </c>
      <c r="D575" s="32" t="str">
        <f t="array" ref="D575">IF($C575="","",IFERROR(INDEX(Estimasi!$M$2:$M$1000,MATCH($C575,Estimasi!$L$2:$L$1000,0)),""))</f>
        <v/>
      </c>
      <c r="E575" s="32"/>
      <c r="F575" s="32" t="str">
        <f t="shared" si="4"/>
        <v/>
      </c>
      <c r="G575" s="11" t="str">
        <f t="shared" si="5"/>
        <v/>
      </c>
    </row>
    <row r="576" ht="15.75" customHeight="1">
      <c r="A576" s="52"/>
      <c r="B576" s="11"/>
      <c r="C576" s="11" t="str">
        <f t="array" ref="C576">IF($B576="","",IFERROR(INDEX(Estimasi!$I$2:$I$1000,MATCH($B576,Estimasi!$H$2:$H$1000,0)),""))</f>
        <v/>
      </c>
      <c r="D576" s="32" t="str">
        <f t="array" ref="D576">IF($C576="","",IFERROR(INDEX(Estimasi!$M$2:$M$1000,MATCH($C576,Estimasi!$L$2:$L$1000,0)),""))</f>
        <v/>
      </c>
      <c r="E576" s="32"/>
      <c r="F576" s="32" t="str">
        <f t="shared" si="4"/>
        <v/>
      </c>
      <c r="G576" s="11" t="str">
        <f t="shared" si="5"/>
        <v/>
      </c>
    </row>
    <row r="577" ht="15.75" customHeight="1">
      <c r="A577" s="52"/>
      <c r="B577" s="11"/>
      <c r="C577" s="11" t="str">
        <f t="array" ref="C577">IF($B577="","",IFERROR(INDEX(Estimasi!$I$2:$I$1000,MATCH($B577,Estimasi!$H$2:$H$1000,0)),""))</f>
        <v/>
      </c>
      <c r="D577" s="32" t="str">
        <f t="array" ref="D577">IF($C577="","",IFERROR(INDEX(Estimasi!$M$2:$M$1000,MATCH($C577,Estimasi!$L$2:$L$1000,0)),""))</f>
        <v/>
      </c>
      <c r="E577" s="32"/>
      <c r="F577" s="32" t="str">
        <f t="shared" si="4"/>
        <v/>
      </c>
      <c r="G577" s="11" t="str">
        <f t="shared" si="5"/>
        <v/>
      </c>
    </row>
    <row r="578" ht="15.75" customHeight="1">
      <c r="A578" s="52"/>
      <c r="B578" s="11"/>
      <c r="C578" s="11" t="str">
        <f t="array" ref="C578">IF($B578="","",IFERROR(INDEX(Estimasi!$I$2:$I$1000,MATCH($B578,Estimasi!$H$2:$H$1000,0)),""))</f>
        <v/>
      </c>
      <c r="D578" s="32" t="str">
        <f t="array" ref="D578">IF($C578="","",IFERROR(INDEX(Estimasi!$M$2:$M$1000,MATCH($C578,Estimasi!$L$2:$L$1000,0)),""))</f>
        <v/>
      </c>
      <c r="E578" s="32"/>
      <c r="F578" s="32" t="str">
        <f t="shared" si="4"/>
        <v/>
      </c>
      <c r="G578" s="11" t="str">
        <f t="shared" si="5"/>
        <v/>
      </c>
    </row>
    <row r="579" ht="15.75" customHeight="1">
      <c r="A579" s="52"/>
      <c r="B579" s="11"/>
      <c r="C579" s="11" t="str">
        <f t="array" ref="C579">IF($B579="","",IFERROR(INDEX(Estimasi!$I$2:$I$1000,MATCH($B579,Estimasi!$H$2:$H$1000,0)),""))</f>
        <v/>
      </c>
      <c r="D579" s="32" t="str">
        <f t="array" ref="D579">IF($C579="","",IFERROR(INDEX(Estimasi!$M$2:$M$1000,MATCH($C579,Estimasi!$L$2:$L$1000,0)),""))</f>
        <v/>
      </c>
      <c r="E579" s="32"/>
      <c r="F579" s="32" t="str">
        <f t="shared" si="4"/>
        <v/>
      </c>
      <c r="G579" s="11" t="str">
        <f t="shared" si="5"/>
        <v/>
      </c>
    </row>
    <row r="580" ht="15.75" customHeight="1">
      <c r="A580" s="52"/>
      <c r="B580" s="11"/>
      <c r="C580" s="11" t="str">
        <f t="array" ref="C580">IF($B580="","",IFERROR(INDEX(Estimasi!$I$2:$I$1000,MATCH($B580,Estimasi!$H$2:$H$1000,0)),""))</f>
        <v/>
      </c>
      <c r="D580" s="32" t="str">
        <f t="array" ref="D580">IF($C580="","",IFERROR(INDEX(Estimasi!$M$2:$M$1000,MATCH($C580,Estimasi!$L$2:$L$1000,0)),""))</f>
        <v/>
      </c>
      <c r="E580" s="32"/>
      <c r="F580" s="32" t="str">
        <f t="shared" si="4"/>
        <v/>
      </c>
      <c r="G580" s="11" t="str">
        <f t="shared" si="5"/>
        <v/>
      </c>
    </row>
    <row r="581" ht="15.75" customHeight="1">
      <c r="A581" s="52"/>
      <c r="B581" s="11"/>
      <c r="C581" s="11" t="str">
        <f t="array" ref="C581">IF($B581="","",IFERROR(INDEX(Estimasi!$I$2:$I$1000,MATCH($B581,Estimasi!$H$2:$H$1000,0)),""))</f>
        <v/>
      </c>
      <c r="D581" s="32" t="str">
        <f t="array" ref="D581">IF($C581="","",IFERROR(INDEX(Estimasi!$M$2:$M$1000,MATCH($C581,Estimasi!$L$2:$L$1000,0)),""))</f>
        <v/>
      </c>
      <c r="E581" s="32"/>
      <c r="F581" s="32" t="str">
        <f t="shared" si="4"/>
        <v/>
      </c>
      <c r="G581" s="11" t="str">
        <f t="shared" si="5"/>
        <v/>
      </c>
    </row>
    <row r="582" ht="15.75" customHeight="1">
      <c r="A582" s="52"/>
      <c r="B582" s="11"/>
      <c r="C582" s="11" t="str">
        <f t="array" ref="C582">IF($B582="","",IFERROR(INDEX(Estimasi!$I$2:$I$1000,MATCH($B582,Estimasi!$H$2:$H$1000,0)),""))</f>
        <v/>
      </c>
      <c r="D582" s="32" t="str">
        <f t="array" ref="D582">IF($C582="","",IFERROR(INDEX(Estimasi!$M$2:$M$1000,MATCH($C582,Estimasi!$L$2:$L$1000,0)),""))</f>
        <v/>
      </c>
      <c r="E582" s="32"/>
      <c r="F582" s="32" t="str">
        <f t="shared" si="4"/>
        <v/>
      </c>
      <c r="G582" s="11" t="str">
        <f t="shared" si="5"/>
        <v/>
      </c>
    </row>
    <row r="583" ht="15.75" customHeight="1">
      <c r="A583" s="52"/>
      <c r="B583" s="11"/>
      <c r="C583" s="11" t="str">
        <f t="array" ref="C583">IF($B583="","",IFERROR(INDEX(Estimasi!$I$2:$I$1000,MATCH($B583,Estimasi!$H$2:$H$1000,0)),""))</f>
        <v/>
      </c>
      <c r="D583" s="32" t="str">
        <f t="array" ref="D583">IF($C583="","",IFERROR(INDEX(Estimasi!$M$2:$M$1000,MATCH($C583,Estimasi!$L$2:$L$1000,0)),""))</f>
        <v/>
      </c>
      <c r="E583" s="32"/>
      <c r="F583" s="32" t="str">
        <f t="shared" si="4"/>
        <v/>
      </c>
      <c r="G583" s="11" t="str">
        <f t="shared" si="5"/>
        <v/>
      </c>
    </row>
    <row r="584" ht="15.75" customHeight="1">
      <c r="A584" s="52"/>
      <c r="B584" s="11"/>
      <c r="C584" s="11" t="str">
        <f t="array" ref="C584">IF($B584="","",IFERROR(INDEX(Estimasi!$I$2:$I$1000,MATCH($B584,Estimasi!$H$2:$H$1000,0)),""))</f>
        <v/>
      </c>
      <c r="D584" s="32" t="str">
        <f t="array" ref="D584">IF($C584="","",IFERROR(INDEX(Estimasi!$M$2:$M$1000,MATCH($C584,Estimasi!$L$2:$L$1000,0)),""))</f>
        <v/>
      </c>
      <c r="E584" s="32"/>
      <c r="F584" s="32" t="str">
        <f t="shared" si="4"/>
        <v/>
      </c>
      <c r="G584" s="11" t="str">
        <f t="shared" si="5"/>
        <v/>
      </c>
    </row>
    <row r="585" ht="15.75" customHeight="1">
      <c r="A585" s="52"/>
      <c r="B585" s="11"/>
      <c r="C585" s="11" t="str">
        <f t="array" ref="C585">IF($B585="","",IFERROR(INDEX(Estimasi!$I$2:$I$1000,MATCH($B585,Estimasi!$H$2:$H$1000,0)),""))</f>
        <v/>
      </c>
      <c r="D585" s="32" t="str">
        <f t="array" ref="D585">IF($C585="","",IFERROR(INDEX(Estimasi!$M$2:$M$1000,MATCH($C585,Estimasi!$L$2:$L$1000,0)),""))</f>
        <v/>
      </c>
      <c r="E585" s="32"/>
      <c r="F585" s="32" t="str">
        <f t="shared" si="4"/>
        <v/>
      </c>
      <c r="G585" s="11" t="str">
        <f t="shared" si="5"/>
        <v/>
      </c>
    </row>
    <row r="586" ht="15.75" customHeight="1">
      <c r="A586" s="52"/>
      <c r="B586" s="11"/>
      <c r="C586" s="11" t="str">
        <f t="array" ref="C586">IF($B586="","",IFERROR(INDEX(Estimasi!$I$2:$I$1000,MATCH($B586,Estimasi!$H$2:$H$1000,0)),""))</f>
        <v/>
      </c>
      <c r="D586" s="32" t="str">
        <f t="array" ref="D586">IF($C586="","",IFERROR(INDEX(Estimasi!$M$2:$M$1000,MATCH($C586,Estimasi!$L$2:$L$1000,0)),""))</f>
        <v/>
      </c>
      <c r="E586" s="32"/>
      <c r="F586" s="32" t="str">
        <f t="shared" si="4"/>
        <v/>
      </c>
      <c r="G586" s="11" t="str">
        <f t="shared" si="5"/>
        <v/>
      </c>
    </row>
    <row r="587" ht="15.75" customHeight="1">
      <c r="A587" s="52"/>
      <c r="B587" s="11"/>
      <c r="C587" s="11" t="str">
        <f t="array" ref="C587">IF($B587="","",IFERROR(INDEX(Estimasi!$I$2:$I$1000,MATCH($B587,Estimasi!$H$2:$H$1000,0)),""))</f>
        <v/>
      </c>
      <c r="D587" s="32" t="str">
        <f t="array" ref="D587">IF($C587="","",IFERROR(INDEX(Estimasi!$M$2:$M$1000,MATCH($C587,Estimasi!$L$2:$L$1000,0)),""))</f>
        <v/>
      </c>
      <c r="E587" s="32"/>
      <c r="F587" s="32" t="str">
        <f t="shared" si="4"/>
        <v/>
      </c>
      <c r="G587" s="11" t="str">
        <f t="shared" si="5"/>
        <v/>
      </c>
    </row>
    <row r="588" ht="15.75" customHeight="1">
      <c r="A588" s="52"/>
      <c r="B588" s="11"/>
      <c r="C588" s="11" t="str">
        <f t="array" ref="C588">IF($B588="","",IFERROR(INDEX(Estimasi!$I$2:$I$1000,MATCH($B588,Estimasi!$H$2:$H$1000,0)),""))</f>
        <v/>
      </c>
      <c r="D588" s="32" t="str">
        <f t="array" ref="D588">IF($C588="","",IFERROR(INDEX(Estimasi!$M$2:$M$1000,MATCH($C588,Estimasi!$L$2:$L$1000,0)),""))</f>
        <v/>
      </c>
      <c r="E588" s="32"/>
      <c r="F588" s="32" t="str">
        <f t="shared" si="4"/>
        <v/>
      </c>
      <c r="G588" s="11" t="str">
        <f t="shared" si="5"/>
        <v/>
      </c>
    </row>
    <row r="589" ht="15.75" customHeight="1">
      <c r="A589" s="52"/>
      <c r="B589" s="11"/>
      <c r="C589" s="11" t="str">
        <f t="array" ref="C589">IF($B589="","",IFERROR(INDEX(Estimasi!$I$2:$I$1000,MATCH($B589,Estimasi!$H$2:$H$1000,0)),""))</f>
        <v/>
      </c>
      <c r="D589" s="32" t="str">
        <f t="array" ref="D589">IF($C589="","",IFERROR(INDEX(Estimasi!$M$2:$M$1000,MATCH($C589,Estimasi!$L$2:$L$1000,0)),""))</f>
        <v/>
      </c>
      <c r="E589" s="32"/>
      <c r="F589" s="32" t="str">
        <f t="shared" si="4"/>
        <v/>
      </c>
      <c r="G589" s="11" t="str">
        <f t="shared" si="5"/>
        <v/>
      </c>
    </row>
    <row r="590" ht="15.75" customHeight="1">
      <c r="A590" s="52"/>
      <c r="B590" s="11"/>
      <c r="C590" s="11" t="str">
        <f t="array" ref="C590">IF($B590="","",IFERROR(INDEX(Estimasi!$I$2:$I$1000,MATCH($B590,Estimasi!$H$2:$H$1000,0)),""))</f>
        <v/>
      </c>
      <c r="D590" s="32" t="str">
        <f t="array" ref="D590">IF($C590="","",IFERROR(INDEX(Estimasi!$M$2:$M$1000,MATCH($C590,Estimasi!$L$2:$L$1000,0)),""))</f>
        <v/>
      </c>
      <c r="E590" s="32"/>
      <c r="F590" s="32" t="str">
        <f t="shared" si="4"/>
        <v/>
      </c>
      <c r="G590" s="11" t="str">
        <f t="shared" si="5"/>
        <v/>
      </c>
    </row>
    <row r="591" ht="15.75" customHeight="1">
      <c r="A591" s="52"/>
      <c r="B591" s="11"/>
      <c r="C591" s="11" t="str">
        <f t="array" ref="C591">IF($B591="","",IFERROR(INDEX(Estimasi!$I$2:$I$1000,MATCH($B591,Estimasi!$H$2:$H$1000,0)),""))</f>
        <v/>
      </c>
      <c r="D591" s="32" t="str">
        <f t="array" ref="D591">IF($C591="","",IFERROR(INDEX(Estimasi!$M$2:$M$1000,MATCH($C591,Estimasi!$L$2:$L$1000,0)),""))</f>
        <v/>
      </c>
      <c r="E591" s="32"/>
      <c r="F591" s="32" t="str">
        <f t="shared" si="4"/>
        <v/>
      </c>
      <c r="G591" s="11" t="str">
        <f t="shared" si="5"/>
        <v/>
      </c>
    </row>
    <row r="592" ht="15.75" customHeight="1">
      <c r="A592" s="52"/>
      <c r="B592" s="11"/>
      <c r="C592" s="11" t="str">
        <f t="array" ref="C592">IF($B592="","",IFERROR(INDEX(Estimasi!$I$2:$I$1000,MATCH($B592,Estimasi!$H$2:$H$1000,0)),""))</f>
        <v/>
      </c>
      <c r="D592" s="32" t="str">
        <f t="array" ref="D592">IF($C592="","",IFERROR(INDEX(Estimasi!$M$2:$M$1000,MATCH($C592,Estimasi!$L$2:$L$1000,0)),""))</f>
        <v/>
      </c>
      <c r="E592" s="32"/>
      <c r="F592" s="32" t="str">
        <f t="shared" si="4"/>
        <v/>
      </c>
      <c r="G592" s="11" t="str">
        <f t="shared" si="5"/>
        <v/>
      </c>
    </row>
    <row r="593" ht="15.75" customHeight="1">
      <c r="A593" s="52"/>
      <c r="B593" s="11"/>
      <c r="C593" s="11" t="str">
        <f t="array" ref="C593">IF($B593="","",IFERROR(INDEX(Estimasi!$I$2:$I$1000,MATCH($B593,Estimasi!$H$2:$H$1000,0)),""))</f>
        <v/>
      </c>
      <c r="D593" s="32" t="str">
        <f t="array" ref="D593">IF($C593="","",IFERROR(INDEX(Estimasi!$M$2:$M$1000,MATCH($C593,Estimasi!$L$2:$L$1000,0)),""))</f>
        <v/>
      </c>
      <c r="E593" s="32"/>
      <c r="F593" s="32" t="str">
        <f t="shared" si="4"/>
        <v/>
      </c>
      <c r="G593" s="11" t="str">
        <f t="shared" si="5"/>
        <v/>
      </c>
    </row>
    <row r="594" ht="15.75" customHeight="1">
      <c r="A594" s="52"/>
      <c r="B594" s="11"/>
      <c r="C594" s="11" t="str">
        <f t="array" ref="C594">IF($B594="","",IFERROR(INDEX(Estimasi!$I$2:$I$1000,MATCH($B594,Estimasi!$H$2:$H$1000,0)),""))</f>
        <v/>
      </c>
      <c r="D594" s="32" t="str">
        <f t="array" ref="D594">IF($C594="","",IFERROR(INDEX(Estimasi!$M$2:$M$1000,MATCH($C594,Estimasi!$L$2:$L$1000,0)),""))</f>
        <v/>
      </c>
      <c r="E594" s="32"/>
      <c r="F594" s="32" t="str">
        <f t="shared" si="4"/>
        <v/>
      </c>
      <c r="G594" s="11" t="str">
        <f t="shared" si="5"/>
        <v/>
      </c>
    </row>
    <row r="595" ht="15.75" customHeight="1">
      <c r="A595" s="52"/>
      <c r="B595" s="11"/>
      <c r="C595" s="11" t="str">
        <f t="array" ref="C595">IF($B595="","",IFERROR(INDEX(Estimasi!$I$2:$I$1000,MATCH($B595,Estimasi!$H$2:$H$1000,0)),""))</f>
        <v/>
      </c>
      <c r="D595" s="32" t="str">
        <f t="array" ref="D595">IF($C595="","",IFERROR(INDEX(Estimasi!$M$2:$M$1000,MATCH($C595,Estimasi!$L$2:$L$1000,0)),""))</f>
        <v/>
      </c>
      <c r="E595" s="32"/>
      <c r="F595" s="32" t="str">
        <f t="shared" si="4"/>
        <v/>
      </c>
      <c r="G595" s="11" t="str">
        <f t="shared" si="5"/>
        <v/>
      </c>
    </row>
    <row r="596" ht="15.75" customHeight="1">
      <c r="A596" s="52"/>
      <c r="B596" s="11"/>
      <c r="C596" s="11" t="str">
        <f t="array" ref="C596">IF($B596="","",IFERROR(INDEX(Estimasi!$I$2:$I$1000,MATCH($B596,Estimasi!$H$2:$H$1000,0)),""))</f>
        <v/>
      </c>
      <c r="D596" s="32" t="str">
        <f t="array" ref="D596">IF($C596="","",IFERROR(INDEX(Estimasi!$M$2:$M$1000,MATCH($C596,Estimasi!$L$2:$L$1000,0)),""))</f>
        <v/>
      </c>
      <c r="E596" s="32"/>
      <c r="F596" s="32" t="str">
        <f t="shared" si="4"/>
        <v/>
      </c>
      <c r="G596" s="11" t="str">
        <f t="shared" si="5"/>
        <v/>
      </c>
    </row>
    <row r="597" ht="15.75" customHeight="1">
      <c r="A597" s="52"/>
      <c r="B597" s="11"/>
      <c r="C597" s="11" t="str">
        <f t="array" ref="C597">IF($B597="","",IFERROR(INDEX(Estimasi!$I$2:$I$1000,MATCH($B597,Estimasi!$H$2:$H$1000,0)),""))</f>
        <v/>
      </c>
      <c r="D597" s="32" t="str">
        <f t="array" ref="D597">IF($C597="","",IFERROR(INDEX(Estimasi!$M$2:$M$1000,MATCH($C597,Estimasi!$L$2:$L$1000,0)),""))</f>
        <v/>
      </c>
      <c r="E597" s="32"/>
      <c r="F597" s="32" t="str">
        <f t="shared" si="4"/>
        <v/>
      </c>
      <c r="G597" s="11" t="str">
        <f t="shared" si="5"/>
        <v/>
      </c>
    </row>
    <row r="598" ht="15.75" customHeight="1">
      <c r="A598" s="52"/>
      <c r="B598" s="11"/>
      <c r="C598" s="11" t="str">
        <f t="array" ref="C598">IF($B598="","",IFERROR(INDEX(Estimasi!$I$2:$I$1000,MATCH($B598,Estimasi!$H$2:$H$1000,0)),""))</f>
        <v/>
      </c>
      <c r="D598" s="32" t="str">
        <f t="array" ref="D598">IF($C598="","",IFERROR(INDEX(Estimasi!$M$2:$M$1000,MATCH($C598,Estimasi!$L$2:$L$1000,0)),""))</f>
        <v/>
      </c>
      <c r="E598" s="32"/>
      <c r="F598" s="32" t="str">
        <f t="shared" si="4"/>
        <v/>
      </c>
      <c r="G598" s="11" t="str">
        <f t="shared" si="5"/>
        <v/>
      </c>
    </row>
    <row r="599" ht="15.75" customHeight="1">
      <c r="A599" s="52"/>
      <c r="B599" s="11"/>
      <c r="C599" s="11" t="str">
        <f t="array" ref="C599">IF($B599="","",IFERROR(INDEX(Estimasi!$I$2:$I$1000,MATCH($B599,Estimasi!$H$2:$H$1000,0)),""))</f>
        <v/>
      </c>
      <c r="D599" s="32" t="str">
        <f t="array" ref="D599">IF($C599="","",IFERROR(INDEX(Estimasi!$M$2:$M$1000,MATCH($C599,Estimasi!$L$2:$L$1000,0)),""))</f>
        <v/>
      </c>
      <c r="E599" s="32"/>
      <c r="F599" s="32" t="str">
        <f t="shared" si="4"/>
        <v/>
      </c>
      <c r="G599" s="11" t="str">
        <f t="shared" si="5"/>
        <v/>
      </c>
    </row>
    <row r="600" ht="15.75" customHeight="1">
      <c r="A600" s="52"/>
      <c r="B600" s="11"/>
      <c r="C600" s="11" t="str">
        <f t="array" ref="C600">IF($B600="","",IFERROR(INDEX(Estimasi!$I$2:$I$1000,MATCH($B600,Estimasi!$H$2:$H$1000,0)),""))</f>
        <v/>
      </c>
      <c r="D600" s="32" t="str">
        <f t="array" ref="D600">IF($C600="","",IFERROR(INDEX(Estimasi!$M$2:$M$1000,MATCH($C600,Estimasi!$L$2:$L$1000,0)),""))</f>
        <v/>
      </c>
      <c r="E600" s="32"/>
      <c r="F600" s="32" t="str">
        <f t="shared" si="4"/>
        <v/>
      </c>
      <c r="G600" s="11" t="str">
        <f t="shared" si="5"/>
        <v/>
      </c>
    </row>
    <row r="601" ht="15.75" customHeight="1">
      <c r="A601" s="52"/>
      <c r="B601" s="11"/>
      <c r="C601" s="11" t="str">
        <f t="array" ref="C601">IF($B601="","",IFERROR(INDEX(Estimasi!$I$2:$I$1000,MATCH($B601,Estimasi!$H$2:$H$1000,0)),""))</f>
        <v/>
      </c>
      <c r="D601" s="32" t="str">
        <f t="array" ref="D601">IF($C601="","",IFERROR(INDEX(Estimasi!$M$2:$M$1000,MATCH($C601,Estimasi!$L$2:$L$1000,0)),""))</f>
        <v/>
      </c>
      <c r="E601" s="32"/>
      <c r="F601" s="32" t="str">
        <f t="shared" si="4"/>
        <v/>
      </c>
      <c r="G601" s="11" t="str">
        <f t="shared" si="5"/>
        <v/>
      </c>
    </row>
    <row r="602" ht="15.75" customHeight="1">
      <c r="A602" s="52"/>
      <c r="B602" s="11"/>
      <c r="C602" s="11" t="str">
        <f t="array" ref="C602">IF($B602="","",IFERROR(INDEX(Estimasi!$I$2:$I$1000,MATCH($B602,Estimasi!$H$2:$H$1000,0)),""))</f>
        <v/>
      </c>
      <c r="D602" s="32" t="str">
        <f t="array" ref="D602">IF($C602="","",IFERROR(INDEX(Estimasi!$M$2:$M$1000,MATCH($C602,Estimasi!$L$2:$L$1000,0)),""))</f>
        <v/>
      </c>
      <c r="E602" s="32"/>
      <c r="F602" s="32" t="str">
        <f t="shared" si="4"/>
        <v/>
      </c>
      <c r="G602" s="11" t="str">
        <f t="shared" si="5"/>
        <v/>
      </c>
    </row>
    <row r="603" ht="15.75" customHeight="1">
      <c r="A603" s="52"/>
      <c r="B603" s="11"/>
      <c r="C603" s="11" t="str">
        <f t="array" ref="C603">IF($B603="","",IFERROR(INDEX(Estimasi!$I$2:$I$1000,MATCH($B603,Estimasi!$H$2:$H$1000,0)),""))</f>
        <v/>
      </c>
      <c r="D603" s="32" t="str">
        <f t="array" ref="D603">IF($C603="","",IFERROR(INDEX(Estimasi!$M$2:$M$1000,MATCH($C603,Estimasi!$L$2:$L$1000,0)),""))</f>
        <v/>
      </c>
      <c r="E603" s="32"/>
      <c r="F603" s="32" t="str">
        <f t="shared" si="4"/>
        <v/>
      </c>
      <c r="G603" s="11" t="str">
        <f t="shared" si="5"/>
        <v/>
      </c>
    </row>
    <row r="604" ht="15.75" customHeight="1">
      <c r="A604" s="52"/>
      <c r="B604" s="11"/>
      <c r="C604" s="11" t="str">
        <f t="array" ref="C604">IF($B604="","",IFERROR(INDEX(Estimasi!$I$2:$I$1000,MATCH($B604,Estimasi!$H$2:$H$1000,0)),""))</f>
        <v/>
      </c>
      <c r="D604" s="32" t="str">
        <f t="array" ref="D604">IF($C604="","",IFERROR(INDEX(Estimasi!$M$2:$M$1000,MATCH($C604,Estimasi!$L$2:$L$1000,0)),""))</f>
        <v/>
      </c>
      <c r="E604" s="32"/>
      <c r="F604" s="32" t="str">
        <f t="shared" si="4"/>
        <v/>
      </c>
      <c r="G604" s="11" t="str">
        <f t="shared" si="5"/>
        <v/>
      </c>
    </row>
    <row r="605" ht="15.75" customHeight="1">
      <c r="A605" s="52"/>
      <c r="B605" s="11"/>
      <c r="C605" s="11" t="str">
        <f t="array" ref="C605">IF($B605="","",IFERROR(INDEX(Estimasi!$I$2:$I$1000,MATCH($B605,Estimasi!$H$2:$H$1000,0)),""))</f>
        <v/>
      </c>
      <c r="D605" s="32" t="str">
        <f t="array" ref="D605">IF($C605="","",IFERROR(INDEX(Estimasi!$M$2:$M$1000,MATCH($C605,Estimasi!$L$2:$L$1000,0)),""))</f>
        <v/>
      </c>
      <c r="E605" s="32"/>
      <c r="F605" s="32" t="str">
        <f t="shared" si="4"/>
        <v/>
      </c>
      <c r="G605" s="11" t="str">
        <f t="shared" si="5"/>
        <v/>
      </c>
    </row>
    <row r="606" ht="15.75" customHeight="1">
      <c r="A606" s="52"/>
      <c r="B606" s="11"/>
      <c r="C606" s="11" t="str">
        <f t="array" ref="C606">IF($B606="","",IFERROR(INDEX(Estimasi!$I$2:$I$1000,MATCH($B606,Estimasi!$H$2:$H$1000,0)),""))</f>
        <v/>
      </c>
      <c r="D606" s="32" t="str">
        <f t="array" ref="D606">IF($C606="","",IFERROR(INDEX(Estimasi!$M$2:$M$1000,MATCH($C606,Estimasi!$L$2:$L$1000,0)),""))</f>
        <v/>
      </c>
      <c r="E606" s="32"/>
      <c r="F606" s="32" t="str">
        <f t="shared" si="4"/>
        <v/>
      </c>
      <c r="G606" s="11" t="str">
        <f t="shared" si="5"/>
        <v/>
      </c>
    </row>
    <row r="607" ht="15.75" customHeight="1">
      <c r="A607" s="52"/>
      <c r="B607" s="11"/>
      <c r="C607" s="11" t="str">
        <f t="array" ref="C607">IF($B607="","",IFERROR(INDEX(Estimasi!$I$2:$I$1000,MATCH($B607,Estimasi!$H$2:$H$1000,0)),""))</f>
        <v/>
      </c>
      <c r="D607" s="32" t="str">
        <f t="array" ref="D607">IF($C607="","",IFERROR(INDEX(Estimasi!$M$2:$M$1000,MATCH($C607,Estimasi!$L$2:$L$1000,0)),""))</f>
        <v/>
      </c>
      <c r="E607" s="32"/>
      <c r="F607" s="32" t="str">
        <f t="shared" si="4"/>
        <v/>
      </c>
      <c r="G607" s="11" t="str">
        <f t="shared" si="5"/>
        <v/>
      </c>
    </row>
    <row r="608" ht="15.75" customHeight="1">
      <c r="A608" s="52"/>
      <c r="B608" s="11"/>
      <c r="C608" s="11" t="str">
        <f t="array" ref="C608">IF($B608="","",IFERROR(INDEX(Estimasi!$I$2:$I$1000,MATCH($B608,Estimasi!$H$2:$H$1000,0)),""))</f>
        <v/>
      </c>
      <c r="D608" s="32" t="str">
        <f t="array" ref="D608">IF($C608="","",IFERROR(INDEX(Estimasi!$M$2:$M$1000,MATCH($C608,Estimasi!$L$2:$L$1000,0)),""))</f>
        <v/>
      </c>
      <c r="E608" s="32"/>
      <c r="F608" s="32" t="str">
        <f t="shared" si="4"/>
        <v/>
      </c>
      <c r="G608" s="11" t="str">
        <f t="shared" si="5"/>
        <v/>
      </c>
    </row>
    <row r="609" ht="15.75" customHeight="1">
      <c r="A609" s="52"/>
      <c r="B609" s="11"/>
      <c r="C609" s="11" t="str">
        <f t="array" ref="C609">IF($B609="","",IFERROR(INDEX(Estimasi!$I$2:$I$1000,MATCH($B609,Estimasi!$H$2:$H$1000,0)),""))</f>
        <v/>
      </c>
      <c r="D609" s="32" t="str">
        <f t="array" ref="D609">IF($C609="","",IFERROR(INDEX(Estimasi!$M$2:$M$1000,MATCH($C609,Estimasi!$L$2:$L$1000,0)),""))</f>
        <v/>
      </c>
      <c r="E609" s="32"/>
      <c r="F609" s="32" t="str">
        <f t="shared" si="4"/>
        <v/>
      </c>
      <c r="G609" s="11" t="str">
        <f t="shared" si="5"/>
        <v/>
      </c>
    </row>
    <row r="610" ht="15.75" customHeight="1">
      <c r="A610" s="52"/>
      <c r="B610" s="11"/>
      <c r="C610" s="11" t="str">
        <f t="array" ref="C610">IF($B610="","",IFERROR(INDEX(Estimasi!$I$2:$I$1000,MATCH($B610,Estimasi!$H$2:$H$1000,0)),""))</f>
        <v/>
      </c>
      <c r="D610" s="32" t="str">
        <f t="array" ref="D610">IF($C610="","",IFERROR(INDEX(Estimasi!$M$2:$M$1000,MATCH($C610,Estimasi!$L$2:$L$1000,0)),""))</f>
        <v/>
      </c>
      <c r="E610" s="32"/>
      <c r="F610" s="32" t="str">
        <f t="shared" si="4"/>
        <v/>
      </c>
      <c r="G610" s="11" t="str">
        <f t="shared" si="5"/>
        <v/>
      </c>
    </row>
    <row r="611" ht="15.75" customHeight="1">
      <c r="A611" s="52"/>
      <c r="B611" s="11"/>
      <c r="C611" s="11" t="str">
        <f t="array" ref="C611">IF($B611="","",IFERROR(INDEX(Estimasi!$I$2:$I$1000,MATCH($B611,Estimasi!$H$2:$H$1000,0)),""))</f>
        <v/>
      </c>
      <c r="D611" s="32" t="str">
        <f t="array" ref="D611">IF($C611="","",IFERROR(INDEX(Estimasi!$M$2:$M$1000,MATCH($C611,Estimasi!$L$2:$L$1000,0)),""))</f>
        <v/>
      </c>
      <c r="E611" s="32"/>
      <c r="F611" s="32" t="str">
        <f t="shared" si="4"/>
        <v/>
      </c>
      <c r="G611" s="11" t="str">
        <f t="shared" si="5"/>
        <v/>
      </c>
    </row>
    <row r="612" ht="15.75" customHeight="1">
      <c r="A612" s="52"/>
      <c r="B612" s="11"/>
      <c r="C612" s="11" t="str">
        <f t="array" ref="C612">IF($B612="","",IFERROR(INDEX(Estimasi!$I$2:$I$1000,MATCH($B612,Estimasi!$H$2:$H$1000,0)),""))</f>
        <v/>
      </c>
      <c r="D612" s="32" t="str">
        <f t="array" ref="D612">IF($C612="","",IFERROR(INDEX(Estimasi!$M$2:$M$1000,MATCH($C612,Estimasi!$L$2:$L$1000,0)),""))</f>
        <v/>
      </c>
      <c r="E612" s="32"/>
      <c r="F612" s="32" t="str">
        <f t="shared" si="4"/>
        <v/>
      </c>
      <c r="G612" s="11" t="str">
        <f t="shared" si="5"/>
        <v/>
      </c>
    </row>
    <row r="613" ht="15.75" customHeight="1">
      <c r="A613" s="52"/>
      <c r="B613" s="11"/>
      <c r="C613" s="11" t="str">
        <f t="array" ref="C613">IF($B613="","",IFERROR(INDEX(Estimasi!$I$2:$I$1000,MATCH($B613,Estimasi!$H$2:$H$1000,0)),""))</f>
        <v/>
      </c>
      <c r="D613" s="32" t="str">
        <f t="array" ref="D613">IF($C613="","",IFERROR(INDEX(Estimasi!$M$2:$M$1000,MATCH($C613,Estimasi!$L$2:$L$1000,0)),""))</f>
        <v/>
      </c>
      <c r="E613" s="32"/>
      <c r="F613" s="32" t="str">
        <f t="shared" si="4"/>
        <v/>
      </c>
      <c r="G613" s="11" t="str">
        <f t="shared" si="5"/>
        <v/>
      </c>
    </row>
    <row r="614" ht="15.75" customHeight="1">
      <c r="A614" s="52"/>
      <c r="B614" s="11"/>
      <c r="C614" s="11" t="str">
        <f t="array" ref="C614">IF($B614="","",IFERROR(INDEX(Estimasi!$I$2:$I$1000,MATCH($B614,Estimasi!$H$2:$H$1000,0)),""))</f>
        <v/>
      </c>
      <c r="D614" s="32" t="str">
        <f t="array" ref="D614">IF($C614="","",IFERROR(INDEX(Estimasi!$M$2:$M$1000,MATCH($C614,Estimasi!$L$2:$L$1000,0)),""))</f>
        <v/>
      </c>
      <c r="E614" s="32"/>
      <c r="F614" s="32" t="str">
        <f t="shared" si="4"/>
        <v/>
      </c>
      <c r="G614" s="11" t="str">
        <f t="shared" si="5"/>
        <v/>
      </c>
    </row>
    <row r="615" ht="15.75" customHeight="1">
      <c r="A615" s="52"/>
      <c r="B615" s="11"/>
      <c r="C615" s="11" t="str">
        <f t="array" ref="C615">IF($B615="","",IFERROR(INDEX(Estimasi!$I$2:$I$1000,MATCH($B615,Estimasi!$H$2:$H$1000,0)),""))</f>
        <v/>
      </c>
      <c r="D615" s="32" t="str">
        <f t="array" ref="D615">IF($C615="","",IFERROR(INDEX(Estimasi!$M$2:$M$1000,MATCH($C615,Estimasi!$L$2:$L$1000,0)),""))</f>
        <v/>
      </c>
      <c r="E615" s="32"/>
      <c r="F615" s="32" t="str">
        <f t="shared" si="4"/>
        <v/>
      </c>
      <c r="G615" s="11" t="str">
        <f t="shared" si="5"/>
        <v/>
      </c>
    </row>
    <row r="616" ht="15.75" customHeight="1">
      <c r="A616" s="52"/>
      <c r="B616" s="11"/>
      <c r="C616" s="11" t="str">
        <f t="array" ref="C616">IF($B616="","",IFERROR(INDEX(Estimasi!$I$2:$I$1000,MATCH($B616,Estimasi!$H$2:$H$1000,0)),""))</f>
        <v/>
      </c>
      <c r="D616" s="32" t="str">
        <f t="array" ref="D616">IF($C616="","",IFERROR(INDEX(Estimasi!$M$2:$M$1000,MATCH($C616,Estimasi!$L$2:$L$1000,0)),""))</f>
        <v/>
      </c>
      <c r="E616" s="32"/>
      <c r="F616" s="32" t="str">
        <f t="shared" si="4"/>
        <v/>
      </c>
      <c r="G616" s="11" t="str">
        <f t="shared" si="5"/>
        <v/>
      </c>
    </row>
    <row r="617" ht="15.75" customHeight="1">
      <c r="A617" s="52"/>
      <c r="B617" s="11"/>
      <c r="C617" s="11" t="str">
        <f t="array" ref="C617">IF($B617="","",IFERROR(INDEX(Estimasi!$I$2:$I$1000,MATCH($B617,Estimasi!$H$2:$H$1000,0)),""))</f>
        <v/>
      </c>
      <c r="D617" s="32" t="str">
        <f t="array" ref="D617">IF($C617="","",IFERROR(INDEX(Estimasi!$M$2:$M$1000,MATCH($C617,Estimasi!$L$2:$L$1000,0)),""))</f>
        <v/>
      </c>
      <c r="E617" s="32"/>
      <c r="F617" s="32" t="str">
        <f t="shared" si="4"/>
        <v/>
      </c>
      <c r="G617" s="11" t="str">
        <f t="shared" si="5"/>
        <v/>
      </c>
    </row>
    <row r="618" ht="15.75" customHeight="1">
      <c r="A618" s="52"/>
      <c r="B618" s="11"/>
      <c r="C618" s="11" t="str">
        <f t="array" ref="C618">IF($B618="","",IFERROR(INDEX(Estimasi!$I$2:$I$1000,MATCH($B618,Estimasi!$H$2:$H$1000,0)),""))</f>
        <v/>
      </c>
      <c r="D618" s="32" t="str">
        <f t="array" ref="D618">IF($C618="","",IFERROR(INDEX(Estimasi!$M$2:$M$1000,MATCH($C618,Estimasi!$L$2:$L$1000,0)),""))</f>
        <v/>
      </c>
      <c r="E618" s="32"/>
      <c r="F618" s="32" t="str">
        <f t="shared" si="4"/>
        <v/>
      </c>
      <c r="G618" s="11" t="str">
        <f t="shared" si="5"/>
        <v/>
      </c>
    </row>
    <row r="619" ht="15.75" customHeight="1">
      <c r="A619" s="52"/>
      <c r="B619" s="11"/>
      <c r="C619" s="11" t="str">
        <f t="array" ref="C619">IF($B619="","",IFERROR(INDEX(Estimasi!$I$2:$I$1000,MATCH($B619,Estimasi!$H$2:$H$1000,0)),""))</f>
        <v/>
      </c>
      <c r="D619" s="32" t="str">
        <f t="array" ref="D619">IF($C619="","",IFERROR(INDEX(Estimasi!$M$2:$M$1000,MATCH($C619,Estimasi!$L$2:$L$1000,0)),""))</f>
        <v/>
      </c>
      <c r="E619" s="32"/>
      <c r="F619" s="32" t="str">
        <f t="shared" si="4"/>
        <v/>
      </c>
      <c r="G619" s="11" t="str">
        <f t="shared" si="5"/>
        <v/>
      </c>
    </row>
    <row r="620" ht="15.75" customHeight="1">
      <c r="A620" s="52"/>
      <c r="B620" s="11"/>
      <c r="C620" s="11" t="str">
        <f t="array" ref="C620">IF($B620="","",IFERROR(INDEX(Estimasi!$I$2:$I$1000,MATCH($B620,Estimasi!$H$2:$H$1000,0)),""))</f>
        <v/>
      </c>
      <c r="D620" s="32" t="str">
        <f t="array" ref="D620">IF($C620="","",IFERROR(INDEX(Estimasi!$M$2:$M$1000,MATCH($C620,Estimasi!$L$2:$L$1000,0)),""))</f>
        <v/>
      </c>
      <c r="E620" s="32"/>
      <c r="F620" s="32" t="str">
        <f t="shared" si="4"/>
        <v/>
      </c>
      <c r="G620" s="11" t="str">
        <f t="shared" si="5"/>
        <v/>
      </c>
    </row>
    <row r="621" ht="15.75" customHeight="1">
      <c r="A621" s="52"/>
      <c r="B621" s="11"/>
      <c r="C621" s="11" t="str">
        <f t="array" ref="C621">IF($B621="","",IFERROR(INDEX(Estimasi!$I$2:$I$1000,MATCH($B621,Estimasi!$H$2:$H$1000,0)),""))</f>
        <v/>
      </c>
      <c r="D621" s="32" t="str">
        <f t="array" ref="D621">IF($C621="","",IFERROR(INDEX(Estimasi!$M$2:$M$1000,MATCH($C621,Estimasi!$L$2:$L$1000,0)),""))</f>
        <v/>
      </c>
      <c r="E621" s="32"/>
      <c r="F621" s="32" t="str">
        <f t="shared" si="4"/>
        <v/>
      </c>
      <c r="G621" s="11" t="str">
        <f t="shared" si="5"/>
        <v/>
      </c>
    </row>
    <row r="622" ht="15.75" customHeight="1">
      <c r="A622" s="52"/>
      <c r="B622" s="11"/>
      <c r="C622" s="11" t="str">
        <f t="array" ref="C622">IF($B622="","",IFERROR(INDEX(Estimasi!$I$2:$I$1000,MATCH($B622,Estimasi!$H$2:$H$1000,0)),""))</f>
        <v/>
      </c>
      <c r="D622" s="32" t="str">
        <f t="array" ref="D622">IF($C622="","",IFERROR(INDEX(Estimasi!$M$2:$M$1000,MATCH($C622,Estimasi!$L$2:$L$1000,0)),""))</f>
        <v/>
      </c>
      <c r="E622" s="32"/>
      <c r="F622" s="32" t="str">
        <f t="shared" si="4"/>
        <v/>
      </c>
      <c r="G622" s="11" t="str">
        <f t="shared" si="5"/>
        <v/>
      </c>
    </row>
    <row r="623" ht="15.75" customHeight="1">
      <c r="A623" s="52"/>
      <c r="B623" s="11"/>
      <c r="C623" s="11" t="str">
        <f t="array" ref="C623">IF($B623="","",IFERROR(INDEX(Estimasi!$I$2:$I$1000,MATCH($B623,Estimasi!$H$2:$H$1000,0)),""))</f>
        <v/>
      </c>
      <c r="D623" s="32" t="str">
        <f t="array" ref="D623">IF($C623="","",IFERROR(INDEX(Estimasi!$M$2:$M$1000,MATCH($C623,Estimasi!$L$2:$L$1000,0)),""))</f>
        <v/>
      </c>
      <c r="E623" s="32"/>
      <c r="F623" s="32" t="str">
        <f t="shared" si="4"/>
        <v/>
      </c>
      <c r="G623" s="11" t="str">
        <f t="shared" si="5"/>
        <v/>
      </c>
    </row>
    <row r="624" ht="15.75" customHeight="1">
      <c r="A624" s="52"/>
      <c r="B624" s="11"/>
      <c r="C624" s="11" t="str">
        <f t="array" ref="C624">IF($B624="","",IFERROR(INDEX(Estimasi!$I$2:$I$1000,MATCH($B624,Estimasi!$H$2:$H$1000,0)),""))</f>
        <v/>
      </c>
      <c r="D624" s="32" t="str">
        <f t="array" ref="D624">IF($C624="","",IFERROR(INDEX(Estimasi!$M$2:$M$1000,MATCH($C624,Estimasi!$L$2:$L$1000,0)),""))</f>
        <v/>
      </c>
      <c r="E624" s="32"/>
      <c r="F624" s="32" t="str">
        <f t="shared" si="4"/>
        <v/>
      </c>
      <c r="G624" s="11" t="str">
        <f t="shared" si="5"/>
        <v/>
      </c>
    </row>
    <row r="625" ht="15.75" customHeight="1">
      <c r="A625" s="52"/>
      <c r="B625" s="11"/>
      <c r="C625" s="11" t="str">
        <f t="array" ref="C625">IF($B625="","",IFERROR(INDEX(Estimasi!$I$2:$I$1000,MATCH($B625,Estimasi!$H$2:$H$1000,0)),""))</f>
        <v/>
      </c>
      <c r="D625" s="32" t="str">
        <f t="array" ref="D625">IF($C625="","",IFERROR(INDEX(Estimasi!$M$2:$M$1000,MATCH($C625,Estimasi!$L$2:$L$1000,0)),""))</f>
        <v/>
      </c>
      <c r="E625" s="32"/>
      <c r="F625" s="32" t="str">
        <f t="shared" si="4"/>
        <v/>
      </c>
      <c r="G625" s="11" t="str">
        <f t="shared" si="5"/>
        <v/>
      </c>
    </row>
    <row r="626" ht="15.75" customHeight="1">
      <c r="A626" s="52"/>
      <c r="B626" s="11"/>
      <c r="C626" s="11" t="str">
        <f t="array" ref="C626">IF($B626="","",IFERROR(INDEX(Estimasi!$I$2:$I$1000,MATCH($B626,Estimasi!$H$2:$H$1000,0)),""))</f>
        <v/>
      </c>
      <c r="D626" s="32" t="str">
        <f t="array" ref="D626">IF($C626="","",IFERROR(INDEX(Estimasi!$M$2:$M$1000,MATCH($C626,Estimasi!$L$2:$L$1000,0)),""))</f>
        <v/>
      </c>
      <c r="E626" s="32"/>
      <c r="F626" s="32" t="str">
        <f t="shared" si="4"/>
        <v/>
      </c>
      <c r="G626" s="11" t="str">
        <f t="shared" si="5"/>
        <v/>
      </c>
    </row>
    <row r="627" ht="15.75" customHeight="1">
      <c r="A627" s="52"/>
      <c r="B627" s="11"/>
      <c r="C627" s="11" t="str">
        <f t="array" ref="C627">IF($B627="","",IFERROR(INDEX(Estimasi!$I$2:$I$1000,MATCH($B627,Estimasi!$H$2:$H$1000,0)),""))</f>
        <v/>
      </c>
      <c r="D627" s="32" t="str">
        <f t="array" ref="D627">IF($C627="","",IFERROR(INDEX(Estimasi!$M$2:$M$1000,MATCH($C627,Estimasi!$L$2:$L$1000,0)),""))</f>
        <v/>
      </c>
      <c r="E627" s="32"/>
      <c r="F627" s="32" t="str">
        <f t="shared" si="4"/>
        <v/>
      </c>
      <c r="G627" s="11" t="str">
        <f t="shared" si="5"/>
        <v/>
      </c>
    </row>
    <row r="628" ht="15.75" customHeight="1">
      <c r="A628" s="52"/>
      <c r="B628" s="11"/>
      <c r="C628" s="11" t="str">
        <f t="array" ref="C628">IF($B628="","",IFERROR(INDEX(Estimasi!$I$2:$I$1000,MATCH($B628,Estimasi!$H$2:$H$1000,0)),""))</f>
        <v/>
      </c>
      <c r="D628" s="32" t="str">
        <f t="array" ref="D628">IF($C628="","",IFERROR(INDEX(Estimasi!$M$2:$M$1000,MATCH($C628,Estimasi!$L$2:$L$1000,0)),""))</f>
        <v/>
      </c>
      <c r="E628" s="32"/>
      <c r="F628" s="32" t="str">
        <f t="shared" si="4"/>
        <v/>
      </c>
      <c r="G628" s="11" t="str">
        <f t="shared" si="5"/>
        <v/>
      </c>
    </row>
    <row r="629" ht="15.75" customHeight="1">
      <c r="A629" s="52"/>
      <c r="B629" s="11"/>
      <c r="C629" s="11" t="str">
        <f t="array" ref="C629">IF($B629="","",IFERROR(INDEX(Estimasi!$I$2:$I$1000,MATCH($B629,Estimasi!$H$2:$H$1000,0)),""))</f>
        <v/>
      </c>
      <c r="D629" s="32" t="str">
        <f t="array" ref="D629">IF($C629="","",IFERROR(INDEX(Estimasi!$M$2:$M$1000,MATCH($C629,Estimasi!$L$2:$L$1000,0)),""))</f>
        <v/>
      </c>
      <c r="E629" s="32"/>
      <c r="F629" s="32" t="str">
        <f t="shared" si="4"/>
        <v/>
      </c>
      <c r="G629" s="11" t="str">
        <f t="shared" si="5"/>
        <v/>
      </c>
    </row>
    <row r="630" ht="15.75" customHeight="1">
      <c r="A630" s="52"/>
      <c r="B630" s="11"/>
      <c r="C630" s="11" t="str">
        <f t="array" ref="C630">IF($B630="","",IFERROR(INDEX(Estimasi!$I$2:$I$1000,MATCH($B630,Estimasi!$H$2:$H$1000,0)),""))</f>
        <v/>
      </c>
      <c r="D630" s="32" t="str">
        <f t="array" ref="D630">IF($C630="","",IFERROR(INDEX(Estimasi!$M$2:$M$1000,MATCH($C630,Estimasi!$L$2:$L$1000,0)),""))</f>
        <v/>
      </c>
      <c r="E630" s="32"/>
      <c r="F630" s="32" t="str">
        <f t="shared" si="4"/>
        <v/>
      </c>
      <c r="G630" s="11" t="str">
        <f t="shared" si="5"/>
        <v/>
      </c>
    </row>
    <row r="631" ht="15.75" customHeight="1">
      <c r="A631" s="52"/>
      <c r="B631" s="11"/>
      <c r="C631" s="11" t="str">
        <f t="array" ref="C631">IF($B631="","",IFERROR(INDEX(Estimasi!$I$2:$I$1000,MATCH($B631,Estimasi!$H$2:$H$1000,0)),""))</f>
        <v/>
      </c>
      <c r="D631" s="32" t="str">
        <f t="array" ref="D631">IF($C631="","",IFERROR(INDEX(Estimasi!$M$2:$M$1000,MATCH($C631,Estimasi!$L$2:$L$1000,0)),""))</f>
        <v/>
      </c>
      <c r="E631" s="32"/>
      <c r="F631" s="32" t="str">
        <f t="shared" si="4"/>
        <v/>
      </c>
      <c r="G631" s="11" t="str">
        <f t="shared" si="5"/>
        <v/>
      </c>
    </row>
    <row r="632" ht="15.75" customHeight="1">
      <c r="A632" s="52"/>
      <c r="B632" s="11"/>
      <c r="C632" s="11" t="str">
        <f t="array" ref="C632">IF($B632="","",IFERROR(INDEX(Estimasi!$I$2:$I$1000,MATCH($B632,Estimasi!$H$2:$H$1000,0)),""))</f>
        <v/>
      </c>
      <c r="D632" s="32" t="str">
        <f t="array" ref="D632">IF($C632="","",IFERROR(INDEX(Estimasi!$M$2:$M$1000,MATCH($C632,Estimasi!$L$2:$L$1000,0)),""))</f>
        <v/>
      </c>
      <c r="E632" s="32"/>
      <c r="F632" s="32" t="str">
        <f t="shared" si="4"/>
        <v/>
      </c>
      <c r="G632" s="11" t="str">
        <f t="shared" si="5"/>
        <v/>
      </c>
    </row>
    <row r="633" ht="15.75" customHeight="1">
      <c r="A633" s="52"/>
      <c r="B633" s="11"/>
      <c r="C633" s="11" t="str">
        <f t="array" ref="C633">IF($B633="","",IFERROR(INDEX(Estimasi!$I$2:$I$1000,MATCH($B633,Estimasi!$H$2:$H$1000,0)),""))</f>
        <v/>
      </c>
      <c r="D633" s="32" t="str">
        <f t="array" ref="D633">IF($C633="","",IFERROR(INDEX(Estimasi!$M$2:$M$1000,MATCH($C633,Estimasi!$L$2:$L$1000,0)),""))</f>
        <v/>
      </c>
      <c r="E633" s="32"/>
      <c r="F633" s="32" t="str">
        <f t="shared" si="4"/>
        <v/>
      </c>
      <c r="G633" s="11" t="str">
        <f t="shared" si="5"/>
        <v/>
      </c>
    </row>
    <row r="634" ht="15.75" customHeight="1">
      <c r="A634" s="52"/>
      <c r="B634" s="11"/>
      <c r="C634" s="11" t="str">
        <f t="array" ref="C634">IF($B634="","",IFERROR(INDEX(Estimasi!$I$2:$I$1000,MATCH($B634,Estimasi!$H$2:$H$1000,0)),""))</f>
        <v/>
      </c>
      <c r="D634" s="32" t="str">
        <f t="array" ref="D634">IF($C634="","",IFERROR(INDEX(Estimasi!$M$2:$M$1000,MATCH($C634,Estimasi!$L$2:$L$1000,0)),""))</f>
        <v/>
      </c>
      <c r="E634" s="32"/>
      <c r="F634" s="32" t="str">
        <f t="shared" si="4"/>
        <v/>
      </c>
      <c r="G634" s="11" t="str">
        <f t="shared" si="5"/>
        <v/>
      </c>
    </row>
    <row r="635" ht="15.75" customHeight="1">
      <c r="A635" s="52"/>
      <c r="B635" s="11"/>
      <c r="C635" s="11" t="str">
        <f t="array" ref="C635">IF($B635="","",IFERROR(INDEX(Estimasi!$I$2:$I$1000,MATCH($B635,Estimasi!$H$2:$H$1000,0)),""))</f>
        <v/>
      </c>
      <c r="D635" s="32" t="str">
        <f t="array" ref="D635">IF($C635="","",IFERROR(INDEX(Estimasi!$M$2:$M$1000,MATCH($C635,Estimasi!$L$2:$L$1000,0)),""))</f>
        <v/>
      </c>
      <c r="E635" s="32"/>
      <c r="F635" s="32" t="str">
        <f t="shared" si="4"/>
        <v/>
      </c>
      <c r="G635" s="11" t="str">
        <f t="shared" si="5"/>
        <v/>
      </c>
    </row>
    <row r="636" ht="15.75" customHeight="1">
      <c r="A636" s="52"/>
      <c r="B636" s="11"/>
      <c r="C636" s="11" t="str">
        <f t="array" ref="C636">IF($B636="","",IFERROR(INDEX(Estimasi!$I$2:$I$1000,MATCH($B636,Estimasi!$H$2:$H$1000,0)),""))</f>
        <v/>
      </c>
      <c r="D636" s="32" t="str">
        <f t="array" ref="D636">IF($C636="","",IFERROR(INDEX(Estimasi!$M$2:$M$1000,MATCH($C636,Estimasi!$L$2:$L$1000,0)),""))</f>
        <v/>
      </c>
      <c r="E636" s="32"/>
      <c r="F636" s="32" t="str">
        <f t="shared" si="4"/>
        <v/>
      </c>
      <c r="G636" s="11" t="str">
        <f t="shared" si="5"/>
        <v/>
      </c>
    </row>
    <row r="637" ht="15.75" customHeight="1">
      <c r="A637" s="52"/>
      <c r="B637" s="11"/>
      <c r="C637" s="11" t="str">
        <f t="array" ref="C637">IF($B637="","",IFERROR(INDEX(Estimasi!$I$2:$I$1000,MATCH($B637,Estimasi!$H$2:$H$1000,0)),""))</f>
        <v/>
      </c>
      <c r="D637" s="32" t="str">
        <f t="array" ref="D637">IF($C637="","",IFERROR(INDEX(Estimasi!$M$2:$M$1000,MATCH($C637,Estimasi!$L$2:$L$1000,0)),""))</f>
        <v/>
      </c>
      <c r="E637" s="32"/>
      <c r="F637" s="32" t="str">
        <f t="shared" si="4"/>
        <v/>
      </c>
      <c r="G637" s="11" t="str">
        <f t="shared" si="5"/>
        <v/>
      </c>
    </row>
    <row r="638" ht="15.75" customHeight="1">
      <c r="A638" s="52"/>
      <c r="B638" s="11"/>
      <c r="C638" s="11" t="str">
        <f t="array" ref="C638">IF($B638="","",IFERROR(INDEX(Estimasi!$I$2:$I$1000,MATCH($B638,Estimasi!$H$2:$H$1000,0)),""))</f>
        <v/>
      </c>
      <c r="D638" s="32" t="str">
        <f t="array" ref="D638">IF($C638="","",IFERROR(INDEX(Estimasi!$M$2:$M$1000,MATCH($C638,Estimasi!$L$2:$L$1000,0)),""))</f>
        <v/>
      </c>
      <c r="E638" s="32"/>
      <c r="F638" s="32" t="str">
        <f t="shared" si="4"/>
        <v/>
      </c>
      <c r="G638" s="11" t="str">
        <f t="shared" si="5"/>
        <v/>
      </c>
    </row>
    <row r="639" ht="15.75" customHeight="1">
      <c r="A639" s="52"/>
      <c r="B639" s="11"/>
      <c r="C639" s="11" t="str">
        <f t="array" ref="C639">IF($B639="","",IFERROR(INDEX(Estimasi!$I$2:$I$1000,MATCH($B639,Estimasi!$H$2:$H$1000,0)),""))</f>
        <v/>
      </c>
      <c r="D639" s="32" t="str">
        <f t="array" ref="D639">IF($C639="","",IFERROR(INDEX(Estimasi!$M$2:$M$1000,MATCH($C639,Estimasi!$L$2:$L$1000,0)),""))</f>
        <v/>
      </c>
      <c r="E639" s="32"/>
      <c r="F639" s="32" t="str">
        <f t="shared" si="4"/>
        <v/>
      </c>
      <c r="G639" s="11" t="str">
        <f t="shared" si="5"/>
        <v/>
      </c>
    </row>
    <row r="640" ht="15.75" customHeight="1">
      <c r="A640" s="52"/>
      <c r="B640" s="11"/>
      <c r="C640" s="11" t="str">
        <f t="array" ref="C640">IF($B640="","",IFERROR(INDEX(Estimasi!$I$2:$I$1000,MATCH($B640,Estimasi!$H$2:$H$1000,0)),""))</f>
        <v/>
      </c>
      <c r="D640" s="32" t="str">
        <f t="array" ref="D640">IF($C640="","",IFERROR(INDEX(Estimasi!$M$2:$M$1000,MATCH($C640,Estimasi!$L$2:$L$1000,0)),""))</f>
        <v/>
      </c>
      <c r="E640" s="32"/>
      <c r="F640" s="32" t="str">
        <f t="shared" si="4"/>
        <v/>
      </c>
      <c r="G640" s="11" t="str">
        <f t="shared" si="5"/>
        <v/>
      </c>
    </row>
    <row r="641" ht="15.75" customHeight="1">
      <c r="A641" s="52"/>
      <c r="B641" s="11"/>
      <c r="C641" s="11" t="str">
        <f t="array" ref="C641">IF($B641="","",IFERROR(INDEX(Estimasi!$I$2:$I$1000,MATCH($B641,Estimasi!$H$2:$H$1000,0)),""))</f>
        <v/>
      </c>
      <c r="D641" s="32" t="str">
        <f t="array" ref="D641">IF($C641="","",IFERROR(INDEX(Estimasi!$M$2:$M$1000,MATCH($C641,Estimasi!$L$2:$L$1000,0)),""))</f>
        <v/>
      </c>
      <c r="E641" s="32"/>
      <c r="F641" s="32" t="str">
        <f t="shared" si="4"/>
        <v/>
      </c>
      <c r="G641" s="11" t="str">
        <f t="shared" si="5"/>
        <v/>
      </c>
    </row>
    <row r="642" ht="15.75" customHeight="1">
      <c r="A642" s="52"/>
      <c r="B642" s="11"/>
      <c r="C642" s="11" t="str">
        <f t="array" ref="C642">IF($B642="","",IFERROR(INDEX(Estimasi!$I$2:$I$1000,MATCH($B642,Estimasi!$H$2:$H$1000,0)),""))</f>
        <v/>
      </c>
      <c r="D642" s="32" t="str">
        <f t="array" ref="D642">IF($C642="","",IFERROR(INDEX(Estimasi!$M$2:$M$1000,MATCH($C642,Estimasi!$L$2:$L$1000,0)),""))</f>
        <v/>
      </c>
      <c r="E642" s="32"/>
      <c r="F642" s="32" t="str">
        <f t="shared" si="4"/>
        <v/>
      </c>
      <c r="G642" s="11" t="str">
        <f t="shared" si="5"/>
        <v/>
      </c>
    </row>
    <row r="643" ht="15.75" customHeight="1">
      <c r="A643" s="52"/>
      <c r="B643" s="11"/>
      <c r="C643" s="11" t="str">
        <f t="array" ref="C643">IF($B643="","",IFERROR(INDEX(Estimasi!$I$2:$I$1000,MATCH($B643,Estimasi!$H$2:$H$1000,0)),""))</f>
        <v/>
      </c>
      <c r="D643" s="32" t="str">
        <f t="array" ref="D643">IF($C643="","",IFERROR(INDEX(Estimasi!$M$2:$M$1000,MATCH($C643,Estimasi!$L$2:$L$1000,0)),""))</f>
        <v/>
      </c>
      <c r="E643" s="32"/>
      <c r="F643" s="32" t="str">
        <f t="shared" si="4"/>
        <v/>
      </c>
      <c r="G643" s="11" t="str">
        <f t="shared" si="5"/>
        <v/>
      </c>
    </row>
    <row r="644" ht="15.75" customHeight="1">
      <c r="A644" s="52"/>
      <c r="B644" s="11"/>
      <c r="C644" s="11" t="str">
        <f t="array" ref="C644">IF($B644="","",IFERROR(INDEX(Estimasi!$I$2:$I$1000,MATCH($B644,Estimasi!$H$2:$H$1000,0)),""))</f>
        <v/>
      </c>
      <c r="D644" s="32" t="str">
        <f t="array" ref="D644">IF($C644="","",IFERROR(INDEX(Estimasi!$M$2:$M$1000,MATCH($C644,Estimasi!$L$2:$L$1000,0)),""))</f>
        <v/>
      </c>
      <c r="E644" s="32"/>
      <c r="F644" s="32" t="str">
        <f t="shared" si="4"/>
        <v/>
      </c>
      <c r="G644" s="11" t="str">
        <f t="shared" si="5"/>
        <v/>
      </c>
    </row>
    <row r="645" ht="15.75" customHeight="1">
      <c r="A645" s="52"/>
      <c r="B645" s="11"/>
      <c r="C645" s="11" t="str">
        <f t="array" ref="C645">IF($B645="","",IFERROR(INDEX(Estimasi!$I$2:$I$1000,MATCH($B645,Estimasi!$H$2:$H$1000,0)),""))</f>
        <v/>
      </c>
      <c r="D645" s="32" t="str">
        <f t="array" ref="D645">IF($C645="","",IFERROR(INDEX(Estimasi!$M$2:$M$1000,MATCH($C645,Estimasi!$L$2:$L$1000,0)),""))</f>
        <v/>
      </c>
      <c r="E645" s="32"/>
      <c r="F645" s="32" t="str">
        <f t="shared" si="4"/>
        <v/>
      </c>
      <c r="G645" s="11" t="str">
        <f t="shared" si="5"/>
        <v/>
      </c>
    </row>
    <row r="646" ht="15.75" customHeight="1">
      <c r="A646" s="52"/>
      <c r="B646" s="11"/>
      <c r="C646" s="11" t="str">
        <f t="array" ref="C646">IF($B646="","",IFERROR(INDEX(Estimasi!$I$2:$I$1000,MATCH($B646,Estimasi!$H$2:$H$1000,0)),""))</f>
        <v/>
      </c>
      <c r="D646" s="32" t="str">
        <f t="array" ref="D646">IF($C646="","",IFERROR(INDEX(Estimasi!$M$2:$M$1000,MATCH($C646,Estimasi!$L$2:$L$1000,0)),""))</f>
        <v/>
      </c>
      <c r="E646" s="32"/>
      <c r="F646" s="32" t="str">
        <f t="shared" si="4"/>
        <v/>
      </c>
      <c r="G646" s="11" t="str">
        <f t="shared" si="5"/>
        <v/>
      </c>
    </row>
    <row r="647" ht="15.75" customHeight="1">
      <c r="A647" s="52"/>
      <c r="B647" s="11"/>
      <c r="C647" s="11" t="str">
        <f t="array" ref="C647">IF($B647="","",IFERROR(INDEX(Estimasi!$I$2:$I$1000,MATCH($B647,Estimasi!$H$2:$H$1000,0)),""))</f>
        <v/>
      </c>
      <c r="D647" s="32" t="str">
        <f t="array" ref="D647">IF($C647="","",IFERROR(INDEX(Estimasi!$M$2:$M$1000,MATCH($C647,Estimasi!$L$2:$L$1000,0)),""))</f>
        <v/>
      </c>
      <c r="E647" s="32"/>
      <c r="F647" s="32" t="str">
        <f t="shared" si="4"/>
        <v/>
      </c>
      <c r="G647" s="11" t="str">
        <f t="shared" si="5"/>
        <v/>
      </c>
    </row>
    <row r="648" ht="15.75" customHeight="1">
      <c r="A648" s="52"/>
      <c r="B648" s="11"/>
      <c r="C648" s="11" t="str">
        <f t="array" ref="C648">IF($B648="","",IFERROR(INDEX(Estimasi!$I$2:$I$1000,MATCH($B648,Estimasi!$H$2:$H$1000,0)),""))</f>
        <v/>
      </c>
      <c r="D648" s="32" t="str">
        <f t="array" ref="D648">IF($C648="","",IFERROR(INDEX(Estimasi!$M$2:$M$1000,MATCH($C648,Estimasi!$L$2:$L$1000,0)),""))</f>
        <v/>
      </c>
      <c r="E648" s="32"/>
      <c r="F648" s="32" t="str">
        <f t="shared" si="4"/>
        <v/>
      </c>
      <c r="G648" s="11" t="str">
        <f t="shared" si="5"/>
        <v/>
      </c>
    </row>
    <row r="649" ht="15.75" customHeight="1">
      <c r="A649" s="52"/>
      <c r="B649" s="11"/>
      <c r="C649" s="11" t="str">
        <f t="array" ref="C649">IF($B649="","",IFERROR(INDEX(Estimasi!$I$2:$I$1000,MATCH($B649,Estimasi!$H$2:$H$1000,0)),""))</f>
        <v/>
      </c>
      <c r="D649" s="32" t="str">
        <f t="array" ref="D649">IF($C649="","",IFERROR(INDEX(Estimasi!$M$2:$M$1000,MATCH($C649,Estimasi!$L$2:$L$1000,0)),""))</f>
        <v/>
      </c>
      <c r="E649" s="32"/>
      <c r="F649" s="32" t="str">
        <f t="shared" si="4"/>
        <v/>
      </c>
      <c r="G649" s="11" t="str">
        <f t="shared" si="5"/>
        <v/>
      </c>
    </row>
    <row r="650" ht="15.75" customHeight="1">
      <c r="A650" s="52"/>
      <c r="B650" s="11"/>
      <c r="C650" s="11" t="str">
        <f t="array" ref="C650">IF($B650="","",IFERROR(INDEX(Estimasi!$I$2:$I$1000,MATCH($B650,Estimasi!$H$2:$H$1000,0)),""))</f>
        <v/>
      </c>
      <c r="D650" s="32" t="str">
        <f t="array" ref="D650">IF($C650="","",IFERROR(INDEX(Estimasi!$M$2:$M$1000,MATCH($C650,Estimasi!$L$2:$L$1000,0)),""))</f>
        <v/>
      </c>
      <c r="E650" s="32"/>
      <c r="F650" s="32" t="str">
        <f t="shared" si="4"/>
        <v/>
      </c>
      <c r="G650" s="11" t="str">
        <f t="shared" si="5"/>
        <v/>
      </c>
    </row>
    <row r="651" ht="15.75" customHeight="1">
      <c r="A651" s="52"/>
      <c r="B651" s="11"/>
      <c r="C651" s="11" t="str">
        <f t="array" ref="C651">IF($B651="","",IFERROR(INDEX(Estimasi!$I$2:$I$1000,MATCH($B651,Estimasi!$H$2:$H$1000,0)),""))</f>
        <v/>
      </c>
      <c r="D651" s="32" t="str">
        <f t="array" ref="D651">IF($C651="","",IFERROR(INDEX(Estimasi!$M$2:$M$1000,MATCH($C651,Estimasi!$L$2:$L$1000,0)),""))</f>
        <v/>
      </c>
      <c r="E651" s="32"/>
      <c r="F651" s="32" t="str">
        <f t="shared" si="4"/>
        <v/>
      </c>
      <c r="G651" s="11" t="str">
        <f t="shared" si="5"/>
        <v/>
      </c>
    </row>
    <row r="652" ht="15.75" customHeight="1">
      <c r="A652" s="52"/>
      <c r="B652" s="11"/>
      <c r="C652" s="11" t="str">
        <f t="array" ref="C652">IF($B652="","",IFERROR(INDEX(Estimasi!$I$2:$I$1000,MATCH($B652,Estimasi!$H$2:$H$1000,0)),""))</f>
        <v/>
      </c>
      <c r="D652" s="32" t="str">
        <f t="array" ref="D652">IF($C652="","",IFERROR(INDEX(Estimasi!$M$2:$M$1000,MATCH($C652,Estimasi!$L$2:$L$1000,0)),""))</f>
        <v/>
      </c>
      <c r="E652" s="32"/>
      <c r="F652" s="32" t="str">
        <f t="shared" si="4"/>
        <v/>
      </c>
      <c r="G652" s="11" t="str">
        <f t="shared" si="5"/>
        <v/>
      </c>
    </row>
    <row r="653" ht="15.75" customHeight="1">
      <c r="A653" s="52"/>
      <c r="B653" s="11"/>
      <c r="C653" s="11" t="str">
        <f t="array" ref="C653">IF($B653="","",IFERROR(INDEX(Estimasi!$I$2:$I$1000,MATCH($B653,Estimasi!$H$2:$H$1000,0)),""))</f>
        <v/>
      </c>
      <c r="D653" s="32" t="str">
        <f t="array" ref="D653">IF($C653="","",IFERROR(INDEX(Estimasi!$M$2:$M$1000,MATCH($C653,Estimasi!$L$2:$L$1000,0)),""))</f>
        <v/>
      </c>
      <c r="E653" s="32"/>
      <c r="F653" s="32" t="str">
        <f t="shared" si="4"/>
        <v/>
      </c>
      <c r="G653" s="11" t="str">
        <f t="shared" si="5"/>
        <v/>
      </c>
    </row>
    <row r="654" ht="15.75" customHeight="1">
      <c r="A654" s="52"/>
      <c r="B654" s="11"/>
      <c r="C654" s="11" t="str">
        <f t="array" ref="C654">IF($B654="","",IFERROR(INDEX(Estimasi!$I$2:$I$1000,MATCH($B654,Estimasi!$H$2:$H$1000,0)),""))</f>
        <v/>
      </c>
      <c r="D654" s="32" t="str">
        <f t="array" ref="D654">IF($C654="","",IFERROR(INDEX(Estimasi!$M$2:$M$1000,MATCH($C654,Estimasi!$L$2:$L$1000,0)),""))</f>
        <v/>
      </c>
      <c r="E654" s="32"/>
      <c r="F654" s="32" t="str">
        <f t="shared" si="4"/>
        <v/>
      </c>
      <c r="G654" s="11" t="str">
        <f t="shared" si="5"/>
        <v/>
      </c>
    </row>
    <row r="655" ht="15.75" customHeight="1">
      <c r="A655" s="52"/>
      <c r="B655" s="11"/>
      <c r="C655" s="11" t="str">
        <f t="array" ref="C655">IF($B655="","",IFERROR(INDEX(Estimasi!$I$2:$I$1000,MATCH($B655,Estimasi!$H$2:$H$1000,0)),""))</f>
        <v/>
      </c>
      <c r="D655" s="32" t="str">
        <f t="array" ref="D655">IF($C655="","",IFERROR(INDEX(Estimasi!$M$2:$M$1000,MATCH($C655,Estimasi!$L$2:$L$1000,0)),""))</f>
        <v/>
      </c>
      <c r="E655" s="32"/>
      <c r="F655" s="32" t="str">
        <f t="shared" si="4"/>
        <v/>
      </c>
      <c r="G655" s="11" t="str">
        <f t="shared" si="5"/>
        <v/>
      </c>
    </row>
    <row r="656" ht="15.75" customHeight="1">
      <c r="A656" s="52"/>
      <c r="B656" s="11"/>
      <c r="C656" s="11" t="str">
        <f t="array" ref="C656">IF($B656="","",IFERROR(INDEX(Estimasi!$I$2:$I$1000,MATCH($B656,Estimasi!$H$2:$H$1000,0)),""))</f>
        <v/>
      </c>
      <c r="D656" s="32" t="str">
        <f t="array" ref="D656">IF($C656="","",IFERROR(INDEX(Estimasi!$M$2:$M$1000,MATCH($C656,Estimasi!$L$2:$L$1000,0)),""))</f>
        <v/>
      </c>
      <c r="E656" s="32"/>
      <c r="F656" s="32" t="str">
        <f t="shared" si="4"/>
        <v/>
      </c>
      <c r="G656" s="11" t="str">
        <f t="shared" si="5"/>
        <v/>
      </c>
    </row>
    <row r="657" ht="15.75" customHeight="1">
      <c r="A657" s="52"/>
      <c r="B657" s="11"/>
      <c r="C657" s="11" t="str">
        <f t="array" ref="C657">IF($B657="","",IFERROR(INDEX(Estimasi!$I$2:$I$1000,MATCH($B657,Estimasi!$H$2:$H$1000,0)),""))</f>
        <v/>
      </c>
      <c r="D657" s="32" t="str">
        <f t="array" ref="D657">IF($C657="","",IFERROR(INDEX(Estimasi!$M$2:$M$1000,MATCH($C657,Estimasi!$L$2:$L$1000,0)),""))</f>
        <v/>
      </c>
      <c r="E657" s="32"/>
      <c r="F657" s="32" t="str">
        <f t="shared" si="4"/>
        <v/>
      </c>
      <c r="G657" s="11" t="str">
        <f t="shared" si="5"/>
        <v/>
      </c>
    </row>
    <row r="658" ht="15.75" customHeight="1">
      <c r="A658" s="52"/>
      <c r="B658" s="11"/>
      <c r="C658" s="11" t="str">
        <f t="array" ref="C658">IF($B658="","",IFERROR(INDEX(Estimasi!$I$2:$I$1000,MATCH($B658,Estimasi!$H$2:$H$1000,0)),""))</f>
        <v/>
      </c>
      <c r="D658" s="32" t="str">
        <f t="array" ref="D658">IF($C658="","",IFERROR(INDEX(Estimasi!$M$2:$M$1000,MATCH($C658,Estimasi!$L$2:$L$1000,0)),""))</f>
        <v/>
      </c>
      <c r="E658" s="32"/>
      <c r="F658" s="32" t="str">
        <f t="shared" si="4"/>
        <v/>
      </c>
      <c r="G658" s="11" t="str">
        <f t="shared" si="5"/>
        <v/>
      </c>
    </row>
    <row r="659" ht="15.75" customHeight="1">
      <c r="A659" s="52"/>
      <c r="B659" s="11"/>
      <c r="C659" s="11" t="str">
        <f t="array" ref="C659">IF($B659="","",IFERROR(INDEX(Estimasi!$I$2:$I$1000,MATCH($B659,Estimasi!$H$2:$H$1000,0)),""))</f>
        <v/>
      </c>
      <c r="D659" s="32" t="str">
        <f t="array" ref="D659">IF($C659="","",IFERROR(INDEX(Estimasi!$M$2:$M$1000,MATCH($C659,Estimasi!$L$2:$L$1000,0)),""))</f>
        <v/>
      </c>
      <c r="E659" s="32"/>
      <c r="F659" s="32" t="str">
        <f t="shared" si="4"/>
        <v/>
      </c>
      <c r="G659" s="11" t="str">
        <f t="shared" si="5"/>
        <v/>
      </c>
    </row>
    <row r="660" ht="15.75" customHeight="1">
      <c r="A660" s="52"/>
      <c r="B660" s="11"/>
      <c r="C660" s="11" t="str">
        <f t="array" ref="C660">IF($B660="","",IFERROR(INDEX(Estimasi!$I$2:$I$1000,MATCH($B660,Estimasi!$H$2:$H$1000,0)),""))</f>
        <v/>
      </c>
      <c r="D660" s="32" t="str">
        <f t="array" ref="D660">IF($C660="","",IFERROR(INDEX(Estimasi!$M$2:$M$1000,MATCH($C660,Estimasi!$L$2:$L$1000,0)),""))</f>
        <v/>
      </c>
      <c r="E660" s="32"/>
      <c r="F660" s="32" t="str">
        <f t="shared" si="4"/>
        <v/>
      </c>
      <c r="G660" s="11" t="str">
        <f t="shared" si="5"/>
        <v/>
      </c>
    </row>
    <row r="661" ht="15.75" customHeight="1">
      <c r="A661" s="52"/>
      <c r="B661" s="11"/>
      <c r="C661" s="11" t="str">
        <f t="array" ref="C661">IF($B661="","",IFERROR(INDEX(Estimasi!$I$2:$I$1000,MATCH($B661,Estimasi!$H$2:$H$1000,0)),""))</f>
        <v/>
      </c>
      <c r="D661" s="32" t="str">
        <f t="array" ref="D661">IF($C661="","",IFERROR(INDEX(Estimasi!$M$2:$M$1000,MATCH($C661,Estimasi!$L$2:$L$1000,0)),""))</f>
        <v/>
      </c>
      <c r="E661" s="32"/>
      <c r="F661" s="32" t="str">
        <f t="shared" si="4"/>
        <v/>
      </c>
      <c r="G661" s="11" t="str">
        <f t="shared" si="5"/>
        <v/>
      </c>
    </row>
    <row r="662" ht="15.75" customHeight="1">
      <c r="A662" s="52"/>
      <c r="B662" s="11"/>
      <c r="C662" s="11" t="str">
        <f t="array" ref="C662">IF($B662="","",IFERROR(INDEX(Estimasi!$I$2:$I$1000,MATCH($B662,Estimasi!$H$2:$H$1000,0)),""))</f>
        <v/>
      </c>
      <c r="D662" s="32" t="str">
        <f t="array" ref="D662">IF($C662="","",IFERROR(INDEX(Estimasi!$M$2:$M$1000,MATCH($C662,Estimasi!$L$2:$L$1000,0)),""))</f>
        <v/>
      </c>
      <c r="E662" s="32"/>
      <c r="F662" s="32" t="str">
        <f t="shared" si="4"/>
        <v/>
      </c>
      <c r="G662" s="11" t="str">
        <f t="shared" si="5"/>
        <v/>
      </c>
    </row>
    <row r="663" ht="15.75" customHeight="1">
      <c r="A663" s="52"/>
      <c r="B663" s="11"/>
      <c r="C663" s="11" t="str">
        <f t="array" ref="C663">IF($B663="","",IFERROR(INDEX(Estimasi!$I$2:$I$1000,MATCH($B663,Estimasi!$H$2:$H$1000,0)),""))</f>
        <v/>
      </c>
      <c r="D663" s="32" t="str">
        <f t="array" ref="D663">IF($C663="","",IFERROR(INDEX(Estimasi!$M$2:$M$1000,MATCH($C663,Estimasi!$L$2:$L$1000,0)),""))</f>
        <v/>
      </c>
      <c r="E663" s="32"/>
      <c r="F663" s="32" t="str">
        <f t="shared" si="4"/>
        <v/>
      </c>
      <c r="G663" s="11" t="str">
        <f t="shared" si="5"/>
        <v/>
      </c>
    </row>
    <row r="664" ht="15.75" customHeight="1">
      <c r="A664" s="52"/>
      <c r="B664" s="11"/>
      <c r="C664" s="11" t="str">
        <f t="array" ref="C664">IF($B664="","",IFERROR(INDEX(Estimasi!$I$2:$I$1000,MATCH($B664,Estimasi!$H$2:$H$1000,0)),""))</f>
        <v/>
      </c>
      <c r="D664" s="32" t="str">
        <f t="array" ref="D664">IF($C664="","",IFERROR(INDEX(Estimasi!$M$2:$M$1000,MATCH($C664,Estimasi!$L$2:$L$1000,0)),""))</f>
        <v/>
      </c>
      <c r="E664" s="32"/>
      <c r="F664" s="32" t="str">
        <f t="shared" si="4"/>
        <v/>
      </c>
      <c r="G664" s="11" t="str">
        <f t="shared" si="5"/>
        <v/>
      </c>
    </row>
    <row r="665" ht="15.75" customHeight="1">
      <c r="A665" s="52"/>
      <c r="B665" s="11"/>
      <c r="C665" s="11" t="str">
        <f t="array" ref="C665">IF($B665="","",IFERROR(INDEX(Estimasi!$I$2:$I$1000,MATCH($B665,Estimasi!$H$2:$H$1000,0)),""))</f>
        <v/>
      </c>
      <c r="D665" s="32" t="str">
        <f t="array" ref="D665">IF($C665="","",IFERROR(INDEX(Estimasi!$M$2:$M$1000,MATCH($C665,Estimasi!$L$2:$L$1000,0)),""))</f>
        <v/>
      </c>
      <c r="E665" s="32"/>
      <c r="F665" s="32" t="str">
        <f t="shared" si="4"/>
        <v/>
      </c>
      <c r="G665" s="11" t="str">
        <f t="shared" si="5"/>
        <v/>
      </c>
    </row>
    <row r="666" ht="15.75" customHeight="1">
      <c r="A666" s="52"/>
      <c r="B666" s="11"/>
      <c r="C666" s="11" t="str">
        <f t="array" ref="C666">IF($B666="","",IFERROR(INDEX(Estimasi!$I$2:$I$1000,MATCH($B666,Estimasi!$H$2:$H$1000,0)),""))</f>
        <v/>
      </c>
      <c r="D666" s="32" t="str">
        <f t="array" ref="D666">IF($C666="","",IFERROR(INDEX(Estimasi!$M$2:$M$1000,MATCH($C666,Estimasi!$L$2:$L$1000,0)),""))</f>
        <v/>
      </c>
      <c r="E666" s="32"/>
      <c r="F666" s="32" t="str">
        <f t="shared" si="4"/>
        <v/>
      </c>
      <c r="G666" s="11" t="str">
        <f t="shared" si="5"/>
        <v/>
      </c>
    </row>
    <row r="667" ht="15.75" customHeight="1">
      <c r="A667" s="52"/>
      <c r="B667" s="11"/>
      <c r="C667" s="11" t="str">
        <f t="array" ref="C667">IF($B667="","",IFERROR(INDEX(Estimasi!$I$2:$I$1000,MATCH($B667,Estimasi!$H$2:$H$1000,0)),""))</f>
        <v/>
      </c>
      <c r="D667" s="32" t="str">
        <f t="array" ref="D667">IF($C667="","",IFERROR(INDEX(Estimasi!$M$2:$M$1000,MATCH($C667,Estimasi!$L$2:$L$1000,0)),""))</f>
        <v/>
      </c>
      <c r="E667" s="32"/>
      <c r="F667" s="32" t="str">
        <f t="shared" si="4"/>
        <v/>
      </c>
      <c r="G667" s="11" t="str">
        <f t="shared" si="5"/>
        <v/>
      </c>
    </row>
    <row r="668" ht="15.75" customHeight="1">
      <c r="A668" s="52"/>
      <c r="B668" s="11"/>
      <c r="C668" s="11" t="str">
        <f t="array" ref="C668">IF($B668="","",IFERROR(INDEX(Estimasi!$I$2:$I$1000,MATCH($B668,Estimasi!$H$2:$H$1000,0)),""))</f>
        <v/>
      </c>
      <c r="D668" s="32" t="str">
        <f t="array" ref="D668">IF($C668="","",IFERROR(INDEX(Estimasi!$M$2:$M$1000,MATCH($C668,Estimasi!$L$2:$L$1000,0)),""))</f>
        <v/>
      </c>
      <c r="E668" s="32"/>
      <c r="F668" s="32" t="str">
        <f t="shared" si="4"/>
        <v/>
      </c>
      <c r="G668" s="11" t="str">
        <f t="shared" si="5"/>
        <v/>
      </c>
    </row>
    <row r="669" ht="15.75" customHeight="1">
      <c r="A669" s="52"/>
      <c r="B669" s="11"/>
      <c r="C669" s="11" t="str">
        <f t="array" ref="C669">IF($B669="","",IFERROR(INDEX(Estimasi!$I$2:$I$1000,MATCH($B669,Estimasi!$H$2:$H$1000,0)),""))</f>
        <v/>
      </c>
      <c r="D669" s="32" t="str">
        <f t="array" ref="D669">IF($C669="","",IFERROR(INDEX(Estimasi!$M$2:$M$1000,MATCH($C669,Estimasi!$L$2:$L$1000,0)),""))</f>
        <v/>
      </c>
      <c r="E669" s="32"/>
      <c r="F669" s="32" t="str">
        <f t="shared" si="4"/>
        <v/>
      </c>
      <c r="G669" s="11" t="str">
        <f t="shared" si="5"/>
        <v/>
      </c>
    </row>
    <row r="670" ht="15.75" customHeight="1">
      <c r="A670" s="52"/>
      <c r="B670" s="11"/>
      <c r="C670" s="11" t="str">
        <f t="array" ref="C670">IF($B670="","",IFERROR(INDEX(Estimasi!$I$2:$I$1000,MATCH($B670,Estimasi!$H$2:$H$1000,0)),""))</f>
        <v/>
      </c>
      <c r="D670" s="32" t="str">
        <f t="array" ref="D670">IF($C670="","",IFERROR(INDEX(Estimasi!$M$2:$M$1000,MATCH($C670,Estimasi!$L$2:$L$1000,0)),""))</f>
        <v/>
      </c>
      <c r="E670" s="32"/>
      <c r="F670" s="32" t="str">
        <f t="shared" si="4"/>
        <v/>
      </c>
      <c r="G670" s="11" t="str">
        <f t="shared" si="5"/>
        <v/>
      </c>
    </row>
    <row r="671" ht="15.75" customHeight="1">
      <c r="A671" s="52"/>
      <c r="B671" s="11"/>
      <c r="C671" s="11" t="str">
        <f t="array" ref="C671">IF($B671="","",IFERROR(INDEX(Estimasi!$I$2:$I$1000,MATCH($B671,Estimasi!$H$2:$H$1000,0)),""))</f>
        <v/>
      </c>
      <c r="D671" s="32" t="str">
        <f t="array" ref="D671">IF($C671="","",IFERROR(INDEX(Estimasi!$M$2:$M$1000,MATCH($C671,Estimasi!$L$2:$L$1000,0)),""))</f>
        <v/>
      </c>
      <c r="E671" s="32"/>
      <c r="F671" s="32" t="str">
        <f t="shared" si="4"/>
        <v/>
      </c>
      <c r="G671" s="11" t="str">
        <f t="shared" si="5"/>
        <v/>
      </c>
    </row>
    <row r="672" ht="15.75" customHeight="1">
      <c r="A672" s="52"/>
      <c r="B672" s="11"/>
      <c r="C672" s="11" t="str">
        <f t="array" ref="C672">IF($B672="","",IFERROR(INDEX(Estimasi!$I$2:$I$1000,MATCH($B672,Estimasi!$H$2:$H$1000,0)),""))</f>
        <v/>
      </c>
      <c r="D672" s="32" t="str">
        <f t="array" ref="D672">IF($C672="","",IFERROR(INDEX(Estimasi!$M$2:$M$1000,MATCH($C672,Estimasi!$L$2:$L$1000,0)),""))</f>
        <v/>
      </c>
      <c r="E672" s="32"/>
      <c r="F672" s="32" t="str">
        <f t="shared" si="4"/>
        <v/>
      </c>
      <c r="G672" s="11" t="str">
        <f t="shared" si="5"/>
        <v/>
      </c>
    </row>
    <row r="673" ht="15.75" customHeight="1">
      <c r="A673" s="52"/>
      <c r="B673" s="11"/>
      <c r="C673" s="11" t="str">
        <f t="array" ref="C673">IF($B673="","",IFERROR(INDEX(Estimasi!$I$2:$I$1000,MATCH($B673,Estimasi!$H$2:$H$1000,0)),""))</f>
        <v/>
      </c>
      <c r="D673" s="32" t="str">
        <f t="array" ref="D673">IF($C673="","",IFERROR(INDEX(Estimasi!$M$2:$M$1000,MATCH($C673,Estimasi!$L$2:$L$1000,0)),""))</f>
        <v/>
      </c>
      <c r="E673" s="32"/>
      <c r="F673" s="32" t="str">
        <f t="shared" si="4"/>
        <v/>
      </c>
      <c r="G673" s="11" t="str">
        <f t="shared" si="5"/>
        <v/>
      </c>
    </row>
    <row r="674" ht="15.75" customHeight="1">
      <c r="A674" s="52"/>
      <c r="B674" s="11"/>
      <c r="C674" s="11" t="str">
        <f t="array" ref="C674">IF($B674="","",IFERROR(INDEX(Estimasi!$I$2:$I$1000,MATCH($B674,Estimasi!$H$2:$H$1000,0)),""))</f>
        <v/>
      </c>
      <c r="D674" s="32" t="str">
        <f t="array" ref="D674">IF($C674="","",IFERROR(INDEX(Estimasi!$M$2:$M$1000,MATCH($C674,Estimasi!$L$2:$L$1000,0)),""))</f>
        <v/>
      </c>
      <c r="E674" s="32"/>
      <c r="F674" s="32" t="str">
        <f t="shared" si="4"/>
        <v/>
      </c>
      <c r="G674" s="11" t="str">
        <f t="shared" si="5"/>
        <v/>
      </c>
    </row>
    <row r="675" ht="15.75" customHeight="1">
      <c r="A675" s="52"/>
      <c r="B675" s="11"/>
      <c r="C675" s="11" t="str">
        <f t="array" ref="C675">IF($B675="","",IFERROR(INDEX(Estimasi!$I$2:$I$1000,MATCH($B675,Estimasi!$H$2:$H$1000,0)),""))</f>
        <v/>
      </c>
      <c r="D675" s="32" t="str">
        <f t="array" ref="D675">IF($C675="","",IFERROR(INDEX(Estimasi!$M$2:$M$1000,MATCH($C675,Estimasi!$L$2:$L$1000,0)),""))</f>
        <v/>
      </c>
      <c r="E675" s="32"/>
      <c r="F675" s="32" t="str">
        <f t="shared" si="4"/>
        <v/>
      </c>
      <c r="G675" s="11" t="str">
        <f t="shared" si="5"/>
        <v/>
      </c>
    </row>
    <row r="676" ht="15.75" customHeight="1">
      <c r="A676" s="52"/>
      <c r="B676" s="11"/>
      <c r="C676" s="11" t="str">
        <f t="array" ref="C676">IF($B676="","",IFERROR(INDEX(Estimasi!$I$2:$I$1000,MATCH($B676,Estimasi!$H$2:$H$1000,0)),""))</f>
        <v/>
      </c>
      <c r="D676" s="32" t="str">
        <f t="array" ref="D676">IF($C676="","",IFERROR(INDEX(Estimasi!$M$2:$M$1000,MATCH($C676,Estimasi!$L$2:$L$1000,0)),""))</f>
        <v/>
      </c>
      <c r="E676" s="32"/>
      <c r="F676" s="32" t="str">
        <f t="shared" si="4"/>
        <v/>
      </c>
      <c r="G676" s="11" t="str">
        <f t="shared" si="5"/>
        <v/>
      </c>
    </row>
    <row r="677" ht="15.75" customHeight="1">
      <c r="A677" s="52"/>
      <c r="B677" s="11"/>
      <c r="C677" s="11" t="str">
        <f t="array" ref="C677">IF($B677="","",IFERROR(INDEX(Estimasi!$I$2:$I$1000,MATCH($B677,Estimasi!$H$2:$H$1000,0)),""))</f>
        <v/>
      </c>
      <c r="D677" s="32" t="str">
        <f t="array" ref="D677">IF($C677="","",IFERROR(INDEX(Estimasi!$M$2:$M$1000,MATCH($C677,Estimasi!$L$2:$L$1000,0)),""))</f>
        <v/>
      </c>
      <c r="E677" s="32"/>
      <c r="F677" s="32" t="str">
        <f t="shared" si="4"/>
        <v/>
      </c>
      <c r="G677" s="11" t="str">
        <f t="shared" si="5"/>
        <v/>
      </c>
    </row>
    <row r="678" ht="15.75" customHeight="1">
      <c r="A678" s="52"/>
      <c r="B678" s="11"/>
      <c r="C678" s="11" t="str">
        <f t="array" ref="C678">IF($B678="","",IFERROR(INDEX(Estimasi!$I$2:$I$1000,MATCH($B678,Estimasi!$H$2:$H$1000,0)),""))</f>
        <v/>
      </c>
      <c r="D678" s="32" t="str">
        <f t="array" ref="D678">IF($C678="","",IFERROR(INDEX(Estimasi!$M$2:$M$1000,MATCH($C678,Estimasi!$L$2:$L$1000,0)),""))</f>
        <v/>
      </c>
      <c r="E678" s="32"/>
      <c r="F678" s="32" t="str">
        <f t="shared" si="4"/>
        <v/>
      </c>
      <c r="G678" s="11" t="str">
        <f t="shared" si="5"/>
        <v/>
      </c>
    </row>
    <row r="679" ht="15.75" customHeight="1">
      <c r="A679" s="52"/>
      <c r="B679" s="11"/>
      <c r="C679" s="11" t="str">
        <f t="array" ref="C679">IF($B679="","",IFERROR(INDEX(Estimasi!$I$2:$I$1000,MATCH($B679,Estimasi!$H$2:$H$1000,0)),""))</f>
        <v/>
      </c>
      <c r="D679" s="32" t="str">
        <f t="array" ref="D679">IF($C679="","",IFERROR(INDEX(Estimasi!$M$2:$M$1000,MATCH($C679,Estimasi!$L$2:$L$1000,0)),""))</f>
        <v/>
      </c>
      <c r="E679" s="32"/>
      <c r="F679" s="32" t="str">
        <f t="shared" si="4"/>
        <v/>
      </c>
      <c r="G679" s="11" t="str">
        <f t="shared" si="5"/>
        <v/>
      </c>
    </row>
    <row r="680" ht="15.75" customHeight="1">
      <c r="A680" s="52"/>
      <c r="B680" s="11"/>
      <c r="C680" s="11" t="str">
        <f t="array" ref="C680">IF($B680="","",IFERROR(INDEX(Estimasi!$I$2:$I$1000,MATCH($B680,Estimasi!$H$2:$H$1000,0)),""))</f>
        <v/>
      </c>
      <c r="D680" s="32" t="str">
        <f t="array" ref="D680">IF($C680="","",IFERROR(INDEX(Estimasi!$M$2:$M$1000,MATCH($C680,Estimasi!$L$2:$L$1000,0)),""))</f>
        <v/>
      </c>
      <c r="E680" s="32"/>
      <c r="F680" s="32" t="str">
        <f t="shared" si="4"/>
        <v/>
      </c>
      <c r="G680" s="11" t="str">
        <f t="shared" si="5"/>
        <v/>
      </c>
    </row>
    <row r="681" ht="15.75" customHeight="1">
      <c r="A681" s="52"/>
      <c r="B681" s="11"/>
      <c r="C681" s="11" t="str">
        <f t="array" ref="C681">IF($B681="","",IFERROR(INDEX(Estimasi!$I$2:$I$1000,MATCH($B681,Estimasi!$H$2:$H$1000,0)),""))</f>
        <v/>
      </c>
      <c r="D681" s="32" t="str">
        <f t="array" ref="D681">IF($C681="","",IFERROR(INDEX(Estimasi!$M$2:$M$1000,MATCH($C681,Estimasi!$L$2:$L$1000,0)),""))</f>
        <v/>
      </c>
      <c r="E681" s="32"/>
      <c r="F681" s="32" t="str">
        <f t="shared" si="4"/>
        <v/>
      </c>
      <c r="G681" s="11" t="str">
        <f t="shared" si="5"/>
        <v/>
      </c>
    </row>
    <row r="682" ht="15.75" customHeight="1">
      <c r="A682" s="52"/>
      <c r="B682" s="11"/>
      <c r="C682" s="11" t="str">
        <f t="array" ref="C682">IF($B682="","",IFERROR(INDEX(Estimasi!$I$2:$I$1000,MATCH($B682,Estimasi!$H$2:$H$1000,0)),""))</f>
        <v/>
      </c>
      <c r="D682" s="32" t="str">
        <f t="array" ref="D682">IF($C682="","",IFERROR(INDEX(Estimasi!$M$2:$M$1000,MATCH($C682,Estimasi!$L$2:$L$1000,0)),""))</f>
        <v/>
      </c>
      <c r="E682" s="32"/>
      <c r="F682" s="32" t="str">
        <f t="shared" si="4"/>
        <v/>
      </c>
      <c r="G682" s="11" t="str">
        <f t="shared" si="5"/>
        <v/>
      </c>
    </row>
    <row r="683" ht="15.75" customHeight="1">
      <c r="A683" s="52"/>
      <c r="B683" s="11"/>
      <c r="C683" s="11" t="str">
        <f t="array" ref="C683">IF($B683="","",IFERROR(INDEX(Estimasi!$I$2:$I$1000,MATCH($B683,Estimasi!$H$2:$H$1000,0)),""))</f>
        <v/>
      </c>
      <c r="D683" s="32" t="str">
        <f t="array" ref="D683">IF($C683="","",IFERROR(INDEX(Estimasi!$M$2:$M$1000,MATCH($C683,Estimasi!$L$2:$L$1000,0)),""))</f>
        <v/>
      </c>
      <c r="E683" s="32"/>
      <c r="F683" s="32" t="str">
        <f t="shared" si="4"/>
        <v/>
      </c>
      <c r="G683" s="11" t="str">
        <f t="shared" si="5"/>
        <v/>
      </c>
    </row>
    <row r="684" ht="15.75" customHeight="1">
      <c r="A684" s="52"/>
      <c r="B684" s="11"/>
      <c r="C684" s="11" t="str">
        <f t="array" ref="C684">IF($B684="","",IFERROR(INDEX(Estimasi!$I$2:$I$1000,MATCH($B684,Estimasi!$H$2:$H$1000,0)),""))</f>
        <v/>
      </c>
      <c r="D684" s="32" t="str">
        <f t="array" ref="D684">IF($C684="","",IFERROR(INDEX(Estimasi!$M$2:$M$1000,MATCH($C684,Estimasi!$L$2:$L$1000,0)),""))</f>
        <v/>
      </c>
      <c r="E684" s="32"/>
      <c r="F684" s="32" t="str">
        <f t="shared" si="4"/>
        <v/>
      </c>
      <c r="G684" s="11" t="str">
        <f t="shared" si="5"/>
        <v/>
      </c>
    </row>
    <row r="685" ht="15.75" customHeight="1">
      <c r="A685" s="52"/>
      <c r="B685" s="11"/>
      <c r="C685" s="11" t="str">
        <f t="array" ref="C685">IF($B685="","",IFERROR(INDEX(Estimasi!$I$2:$I$1000,MATCH($B685,Estimasi!$H$2:$H$1000,0)),""))</f>
        <v/>
      </c>
      <c r="D685" s="32" t="str">
        <f t="array" ref="D685">IF($C685="","",IFERROR(INDEX(Estimasi!$M$2:$M$1000,MATCH($C685,Estimasi!$L$2:$L$1000,0)),""))</f>
        <v/>
      </c>
      <c r="E685" s="32"/>
      <c r="F685" s="32" t="str">
        <f t="shared" si="4"/>
        <v/>
      </c>
      <c r="G685" s="11" t="str">
        <f t="shared" si="5"/>
        <v/>
      </c>
    </row>
    <row r="686" ht="15.75" customHeight="1">
      <c r="A686" s="52"/>
      <c r="B686" s="11"/>
      <c r="C686" s="11" t="str">
        <f t="array" ref="C686">IF($B686="","",IFERROR(INDEX(Estimasi!$I$2:$I$1000,MATCH($B686,Estimasi!$H$2:$H$1000,0)),""))</f>
        <v/>
      </c>
      <c r="D686" s="32" t="str">
        <f t="array" ref="D686">IF($C686="","",IFERROR(INDEX(Estimasi!$M$2:$M$1000,MATCH($C686,Estimasi!$L$2:$L$1000,0)),""))</f>
        <v/>
      </c>
      <c r="E686" s="32"/>
      <c r="F686" s="32" t="str">
        <f t="shared" si="4"/>
        <v/>
      </c>
      <c r="G686" s="11" t="str">
        <f t="shared" si="5"/>
        <v/>
      </c>
    </row>
    <row r="687" ht="15.75" customHeight="1">
      <c r="A687" s="52"/>
      <c r="B687" s="11"/>
      <c r="C687" s="11" t="str">
        <f t="array" ref="C687">IF($B687="","",IFERROR(INDEX(Estimasi!$I$2:$I$1000,MATCH($B687,Estimasi!$H$2:$H$1000,0)),""))</f>
        <v/>
      </c>
      <c r="D687" s="32" t="str">
        <f t="array" ref="D687">IF($C687="","",IFERROR(INDEX(Estimasi!$M$2:$M$1000,MATCH($C687,Estimasi!$L$2:$L$1000,0)),""))</f>
        <v/>
      </c>
      <c r="E687" s="32"/>
      <c r="F687" s="32" t="str">
        <f t="shared" si="4"/>
        <v/>
      </c>
      <c r="G687" s="11" t="str">
        <f t="shared" si="5"/>
        <v/>
      </c>
    </row>
    <row r="688" ht="15.75" customHeight="1">
      <c r="A688" s="52"/>
      <c r="B688" s="11"/>
      <c r="C688" s="11" t="str">
        <f t="array" ref="C688">IF($B688="","",IFERROR(INDEX(Estimasi!$I$2:$I$1000,MATCH($B688,Estimasi!$H$2:$H$1000,0)),""))</f>
        <v/>
      </c>
      <c r="D688" s="32" t="str">
        <f t="array" ref="D688">IF($C688="","",IFERROR(INDEX(Estimasi!$M$2:$M$1000,MATCH($C688,Estimasi!$L$2:$L$1000,0)),""))</f>
        <v/>
      </c>
      <c r="E688" s="32"/>
      <c r="F688" s="32" t="str">
        <f t="shared" si="4"/>
        <v/>
      </c>
      <c r="G688" s="11" t="str">
        <f t="shared" si="5"/>
        <v/>
      </c>
    </row>
    <row r="689" ht="15.75" customHeight="1">
      <c r="A689" s="52"/>
      <c r="B689" s="11"/>
      <c r="C689" s="11" t="str">
        <f t="array" ref="C689">IF($B689="","",IFERROR(INDEX(Estimasi!$I$2:$I$1000,MATCH($B689,Estimasi!$H$2:$H$1000,0)),""))</f>
        <v/>
      </c>
      <c r="D689" s="32" t="str">
        <f t="array" ref="D689">IF($C689="","",IFERROR(INDEX(Estimasi!$M$2:$M$1000,MATCH($C689,Estimasi!$L$2:$L$1000,0)),""))</f>
        <v/>
      </c>
      <c r="E689" s="32"/>
      <c r="F689" s="32" t="str">
        <f t="shared" si="4"/>
        <v/>
      </c>
      <c r="G689" s="11" t="str">
        <f t="shared" si="5"/>
        <v/>
      </c>
    </row>
    <row r="690" ht="15.75" customHeight="1">
      <c r="A690" s="52"/>
      <c r="B690" s="11"/>
      <c r="C690" s="11" t="str">
        <f t="array" ref="C690">IF($B690="","",IFERROR(INDEX(Estimasi!$I$2:$I$1000,MATCH($B690,Estimasi!$H$2:$H$1000,0)),""))</f>
        <v/>
      </c>
      <c r="D690" s="32" t="str">
        <f t="array" ref="D690">IF($C690="","",IFERROR(INDEX(Estimasi!$M$2:$M$1000,MATCH($C690,Estimasi!$L$2:$L$1000,0)),""))</f>
        <v/>
      </c>
      <c r="E690" s="32"/>
      <c r="F690" s="32" t="str">
        <f t="shared" si="4"/>
        <v/>
      </c>
      <c r="G690" s="11" t="str">
        <f t="shared" si="5"/>
        <v/>
      </c>
    </row>
    <row r="691" ht="15.75" customHeight="1">
      <c r="A691" s="52"/>
      <c r="B691" s="11"/>
      <c r="C691" s="11" t="str">
        <f t="array" ref="C691">IF($B691="","",IFERROR(INDEX(Estimasi!$I$2:$I$1000,MATCH($B691,Estimasi!$H$2:$H$1000,0)),""))</f>
        <v/>
      </c>
      <c r="D691" s="32" t="str">
        <f t="array" ref="D691">IF($C691="","",IFERROR(INDEX(Estimasi!$M$2:$M$1000,MATCH($C691,Estimasi!$L$2:$L$1000,0)),""))</f>
        <v/>
      </c>
      <c r="E691" s="32"/>
      <c r="F691" s="32" t="str">
        <f t="shared" si="4"/>
        <v/>
      </c>
      <c r="G691" s="11" t="str">
        <f t="shared" si="5"/>
        <v/>
      </c>
    </row>
    <row r="692" ht="15.75" customHeight="1">
      <c r="A692" s="52"/>
      <c r="B692" s="11"/>
      <c r="C692" s="11" t="str">
        <f t="array" ref="C692">IF($B692="","",IFERROR(INDEX(Estimasi!$I$2:$I$1000,MATCH($B692,Estimasi!$H$2:$H$1000,0)),""))</f>
        <v/>
      </c>
      <c r="D692" s="32" t="str">
        <f t="array" ref="D692">IF($C692="","",IFERROR(INDEX(Estimasi!$M$2:$M$1000,MATCH($C692,Estimasi!$L$2:$L$1000,0)),""))</f>
        <v/>
      </c>
      <c r="E692" s="32"/>
      <c r="F692" s="32" t="str">
        <f t="shared" si="4"/>
        <v/>
      </c>
      <c r="G692" s="11" t="str">
        <f t="shared" si="5"/>
        <v/>
      </c>
    </row>
    <row r="693" ht="15.75" customHeight="1">
      <c r="A693" s="52"/>
      <c r="B693" s="11"/>
      <c r="C693" s="11" t="str">
        <f t="array" ref="C693">IF($B693="","",IFERROR(INDEX(Estimasi!$I$2:$I$1000,MATCH($B693,Estimasi!$H$2:$H$1000,0)),""))</f>
        <v/>
      </c>
      <c r="D693" s="32" t="str">
        <f t="array" ref="D693">IF($C693="","",IFERROR(INDEX(Estimasi!$M$2:$M$1000,MATCH($C693,Estimasi!$L$2:$L$1000,0)),""))</f>
        <v/>
      </c>
      <c r="E693" s="32"/>
      <c r="F693" s="32" t="str">
        <f t="shared" si="4"/>
        <v/>
      </c>
      <c r="G693" s="11" t="str">
        <f t="shared" si="5"/>
        <v/>
      </c>
    </row>
    <row r="694" ht="15.75" customHeight="1">
      <c r="A694" s="52"/>
      <c r="B694" s="11"/>
      <c r="C694" s="11" t="str">
        <f t="array" ref="C694">IF($B694="","",IFERROR(INDEX(Estimasi!$I$2:$I$1000,MATCH($B694,Estimasi!$H$2:$H$1000,0)),""))</f>
        <v/>
      </c>
      <c r="D694" s="32" t="str">
        <f t="array" ref="D694">IF($C694="","",IFERROR(INDEX(Estimasi!$M$2:$M$1000,MATCH($C694,Estimasi!$L$2:$L$1000,0)),""))</f>
        <v/>
      </c>
      <c r="E694" s="32"/>
      <c r="F694" s="32" t="str">
        <f t="shared" si="4"/>
        <v/>
      </c>
      <c r="G694" s="11" t="str">
        <f t="shared" si="5"/>
        <v/>
      </c>
    </row>
    <row r="695" ht="15.75" customHeight="1">
      <c r="A695" s="52"/>
      <c r="B695" s="11"/>
      <c r="C695" s="11" t="str">
        <f t="array" ref="C695">IF($B695="","",IFERROR(INDEX(Estimasi!$I$2:$I$1000,MATCH($B695,Estimasi!$H$2:$H$1000,0)),""))</f>
        <v/>
      </c>
      <c r="D695" s="32" t="str">
        <f t="array" ref="D695">IF($C695="","",IFERROR(INDEX(Estimasi!$M$2:$M$1000,MATCH($C695,Estimasi!$L$2:$L$1000,0)),""))</f>
        <v/>
      </c>
      <c r="E695" s="32"/>
      <c r="F695" s="32" t="str">
        <f t="shared" si="4"/>
        <v/>
      </c>
      <c r="G695" s="11" t="str">
        <f t="shared" si="5"/>
        <v/>
      </c>
    </row>
    <row r="696" ht="15.75" customHeight="1">
      <c r="A696" s="52"/>
      <c r="B696" s="11"/>
      <c r="C696" s="11" t="str">
        <f t="array" ref="C696">IF($B696="","",IFERROR(INDEX(Estimasi!$I$2:$I$1000,MATCH($B696,Estimasi!$H$2:$H$1000,0)),""))</f>
        <v/>
      </c>
      <c r="D696" s="32" t="str">
        <f t="array" ref="D696">IF($C696="","",IFERROR(INDEX(Estimasi!$M$2:$M$1000,MATCH($C696,Estimasi!$L$2:$L$1000,0)),""))</f>
        <v/>
      </c>
      <c r="E696" s="32"/>
      <c r="F696" s="32" t="str">
        <f t="shared" si="4"/>
        <v/>
      </c>
      <c r="G696" s="11" t="str">
        <f t="shared" si="5"/>
        <v/>
      </c>
    </row>
    <row r="697" ht="15.75" customHeight="1">
      <c r="A697" s="52"/>
      <c r="B697" s="11"/>
      <c r="C697" s="11" t="str">
        <f t="array" ref="C697">IF($B697="","",IFERROR(INDEX(Estimasi!$I$2:$I$1000,MATCH($B697,Estimasi!$H$2:$H$1000,0)),""))</f>
        <v/>
      </c>
      <c r="D697" s="32" t="str">
        <f t="array" ref="D697">IF($C697="","",IFERROR(INDEX(Estimasi!$M$2:$M$1000,MATCH($C697,Estimasi!$L$2:$L$1000,0)),""))</f>
        <v/>
      </c>
      <c r="E697" s="32"/>
      <c r="F697" s="32" t="str">
        <f t="shared" si="4"/>
        <v/>
      </c>
      <c r="G697" s="11" t="str">
        <f t="shared" si="5"/>
        <v/>
      </c>
    </row>
    <row r="698" ht="15.75" customHeight="1">
      <c r="A698" s="52"/>
      <c r="B698" s="11"/>
      <c r="C698" s="11" t="str">
        <f t="array" ref="C698">IF($B698="","",IFERROR(INDEX(Estimasi!$I$2:$I$1000,MATCH($B698,Estimasi!$H$2:$H$1000,0)),""))</f>
        <v/>
      </c>
      <c r="D698" s="32" t="str">
        <f t="array" ref="D698">IF($C698="","",IFERROR(INDEX(Estimasi!$M$2:$M$1000,MATCH($C698,Estimasi!$L$2:$L$1000,0)),""))</f>
        <v/>
      </c>
      <c r="E698" s="32"/>
      <c r="F698" s="32" t="str">
        <f t="shared" si="4"/>
        <v/>
      </c>
      <c r="G698" s="11" t="str">
        <f t="shared" si="5"/>
        <v/>
      </c>
    </row>
    <row r="699" ht="15.75" customHeight="1">
      <c r="A699" s="52"/>
      <c r="B699" s="11"/>
      <c r="C699" s="11" t="str">
        <f t="array" ref="C699">IF($B699="","",IFERROR(INDEX(Estimasi!$I$2:$I$1000,MATCH($B699,Estimasi!$H$2:$H$1000,0)),""))</f>
        <v/>
      </c>
      <c r="D699" s="32" t="str">
        <f t="array" ref="D699">IF($C699="","",IFERROR(INDEX(Estimasi!$M$2:$M$1000,MATCH($C699,Estimasi!$L$2:$L$1000,0)),""))</f>
        <v/>
      </c>
      <c r="E699" s="32"/>
      <c r="F699" s="32" t="str">
        <f t="shared" si="4"/>
        <v/>
      </c>
      <c r="G699" s="11" t="str">
        <f t="shared" si="5"/>
        <v/>
      </c>
    </row>
    <row r="700" ht="15.75" customHeight="1">
      <c r="A700" s="52"/>
      <c r="B700" s="11"/>
      <c r="C700" s="11" t="str">
        <f t="array" ref="C700">IF($B700="","",IFERROR(INDEX(Estimasi!$I$2:$I$1000,MATCH($B700,Estimasi!$H$2:$H$1000,0)),""))</f>
        <v/>
      </c>
      <c r="D700" s="32" t="str">
        <f t="array" ref="D700">IF($C700="","",IFERROR(INDEX(Estimasi!$M$2:$M$1000,MATCH($C700,Estimasi!$L$2:$L$1000,0)),""))</f>
        <v/>
      </c>
      <c r="E700" s="32"/>
      <c r="F700" s="32" t="str">
        <f t="shared" si="4"/>
        <v/>
      </c>
      <c r="G700" s="11" t="str">
        <f t="shared" si="5"/>
        <v/>
      </c>
    </row>
    <row r="701" ht="15.75" customHeight="1">
      <c r="A701" s="52"/>
      <c r="B701" s="11"/>
      <c r="C701" s="11" t="str">
        <f t="array" ref="C701">IF($B701="","",IFERROR(INDEX(Estimasi!$I$2:$I$1000,MATCH($B701,Estimasi!$H$2:$H$1000,0)),""))</f>
        <v/>
      </c>
      <c r="D701" s="32" t="str">
        <f t="array" ref="D701">IF($C701="","",IFERROR(INDEX(Estimasi!$M$2:$M$1000,MATCH($C701,Estimasi!$L$2:$L$1000,0)),""))</f>
        <v/>
      </c>
      <c r="E701" s="32"/>
      <c r="F701" s="32" t="str">
        <f t="shared" si="4"/>
        <v/>
      </c>
      <c r="G701" s="11" t="str">
        <f t="shared" si="5"/>
        <v/>
      </c>
    </row>
    <row r="702" ht="15.75" customHeight="1">
      <c r="A702" s="52"/>
      <c r="B702" s="11"/>
      <c r="C702" s="11" t="str">
        <f t="array" ref="C702">IF($B702="","",IFERROR(INDEX(Estimasi!$I$2:$I$1000,MATCH($B702,Estimasi!$H$2:$H$1000,0)),""))</f>
        <v/>
      </c>
      <c r="D702" s="32" t="str">
        <f t="array" ref="D702">IF($C702="","",IFERROR(INDEX(Estimasi!$M$2:$M$1000,MATCH($C702,Estimasi!$L$2:$L$1000,0)),""))</f>
        <v/>
      </c>
      <c r="E702" s="32"/>
      <c r="F702" s="32" t="str">
        <f t="shared" si="4"/>
        <v/>
      </c>
      <c r="G702" s="11" t="str">
        <f t="shared" si="5"/>
        <v/>
      </c>
    </row>
    <row r="703" ht="15.75" customHeight="1">
      <c r="A703" s="52"/>
      <c r="B703" s="11"/>
      <c r="C703" s="11" t="str">
        <f t="array" ref="C703">IF($B703="","",IFERROR(INDEX(Estimasi!$I$2:$I$1000,MATCH($B703,Estimasi!$H$2:$H$1000,0)),""))</f>
        <v/>
      </c>
      <c r="D703" s="32" t="str">
        <f t="array" ref="D703">IF($C703="","",IFERROR(INDEX(Estimasi!$M$2:$M$1000,MATCH($C703,Estimasi!$L$2:$L$1000,0)),""))</f>
        <v/>
      </c>
      <c r="E703" s="32"/>
      <c r="F703" s="32" t="str">
        <f t="shared" si="4"/>
        <v/>
      </c>
      <c r="G703" s="11" t="str">
        <f t="shared" si="5"/>
        <v/>
      </c>
    </row>
    <row r="704" ht="15.75" customHeight="1">
      <c r="A704" s="52"/>
      <c r="B704" s="11"/>
      <c r="C704" s="11" t="str">
        <f t="array" ref="C704">IF($B704="","",IFERROR(INDEX(Estimasi!$I$2:$I$1000,MATCH($B704,Estimasi!$H$2:$H$1000,0)),""))</f>
        <v/>
      </c>
      <c r="D704" s="32" t="str">
        <f t="array" ref="D704">IF($C704="","",IFERROR(INDEX(Estimasi!$M$2:$M$1000,MATCH($C704,Estimasi!$L$2:$L$1000,0)),""))</f>
        <v/>
      </c>
      <c r="E704" s="32"/>
      <c r="F704" s="32" t="str">
        <f t="shared" si="4"/>
        <v/>
      </c>
      <c r="G704" s="11" t="str">
        <f t="shared" si="5"/>
        <v/>
      </c>
    </row>
    <row r="705" ht="15.75" customHeight="1">
      <c r="A705" s="52"/>
      <c r="B705" s="11"/>
      <c r="C705" s="11" t="str">
        <f t="array" ref="C705">IF($B705="","",IFERROR(INDEX(Estimasi!$I$2:$I$1000,MATCH($B705,Estimasi!$H$2:$H$1000,0)),""))</f>
        <v/>
      </c>
      <c r="D705" s="32" t="str">
        <f t="array" ref="D705">IF($C705="","",IFERROR(INDEX(Estimasi!$M$2:$M$1000,MATCH($C705,Estimasi!$L$2:$L$1000,0)),""))</f>
        <v/>
      </c>
      <c r="E705" s="32"/>
      <c r="F705" s="32" t="str">
        <f t="shared" si="4"/>
        <v/>
      </c>
      <c r="G705" s="11" t="str">
        <f t="shared" si="5"/>
        <v/>
      </c>
    </row>
    <row r="706" ht="15.75" customHeight="1">
      <c r="A706" s="52"/>
      <c r="B706" s="11"/>
      <c r="C706" s="11" t="str">
        <f t="array" ref="C706">IF($B706="","",IFERROR(INDEX(Estimasi!$I$2:$I$1000,MATCH($B706,Estimasi!$H$2:$H$1000,0)),""))</f>
        <v/>
      </c>
      <c r="D706" s="32" t="str">
        <f t="array" ref="D706">IF($C706="","",IFERROR(INDEX(Estimasi!$M$2:$M$1000,MATCH($C706,Estimasi!$L$2:$L$1000,0)),""))</f>
        <v/>
      </c>
      <c r="E706" s="32"/>
      <c r="F706" s="32" t="str">
        <f t="shared" si="4"/>
        <v/>
      </c>
      <c r="G706" s="11" t="str">
        <f t="shared" si="5"/>
        <v/>
      </c>
    </row>
    <row r="707" ht="15.75" customHeight="1">
      <c r="A707" s="52"/>
      <c r="B707" s="11"/>
      <c r="C707" s="11" t="str">
        <f t="array" ref="C707">IF($B707="","",IFERROR(INDEX(Estimasi!$I$2:$I$1000,MATCH($B707,Estimasi!$H$2:$H$1000,0)),""))</f>
        <v/>
      </c>
      <c r="D707" s="32" t="str">
        <f t="array" ref="D707">IF($C707="","",IFERROR(INDEX(Estimasi!$M$2:$M$1000,MATCH($C707,Estimasi!$L$2:$L$1000,0)),""))</f>
        <v/>
      </c>
      <c r="E707" s="32"/>
      <c r="F707" s="32" t="str">
        <f t="shared" si="4"/>
        <v/>
      </c>
      <c r="G707" s="11" t="str">
        <f t="shared" si="5"/>
        <v/>
      </c>
    </row>
    <row r="708" ht="15.75" customHeight="1">
      <c r="A708" s="52"/>
      <c r="B708" s="11"/>
      <c r="C708" s="11" t="str">
        <f t="array" ref="C708">IF($B708="","",IFERROR(INDEX(Estimasi!$I$2:$I$1000,MATCH($B708,Estimasi!$H$2:$H$1000,0)),""))</f>
        <v/>
      </c>
      <c r="D708" s="32" t="str">
        <f t="array" ref="D708">IF($C708="","",IFERROR(INDEX(Estimasi!$M$2:$M$1000,MATCH($C708,Estimasi!$L$2:$L$1000,0)),""))</f>
        <v/>
      </c>
      <c r="E708" s="32"/>
      <c r="F708" s="32" t="str">
        <f t="shared" si="4"/>
        <v/>
      </c>
      <c r="G708" s="11" t="str">
        <f t="shared" si="5"/>
        <v/>
      </c>
    </row>
    <row r="709" ht="15.75" customHeight="1">
      <c r="A709" s="52"/>
      <c r="B709" s="11"/>
      <c r="C709" s="11" t="str">
        <f t="array" ref="C709">IF($B709="","",IFERROR(INDEX(Estimasi!$I$2:$I$1000,MATCH($B709,Estimasi!$H$2:$H$1000,0)),""))</f>
        <v/>
      </c>
      <c r="D709" s="32" t="str">
        <f t="array" ref="D709">IF($C709="","",IFERROR(INDEX(Estimasi!$M$2:$M$1000,MATCH($C709,Estimasi!$L$2:$L$1000,0)),""))</f>
        <v/>
      </c>
      <c r="E709" s="32"/>
      <c r="F709" s="32" t="str">
        <f t="shared" si="4"/>
        <v/>
      </c>
      <c r="G709" s="11" t="str">
        <f t="shared" si="5"/>
        <v/>
      </c>
    </row>
    <row r="710" ht="15.75" customHeight="1">
      <c r="A710" s="52"/>
      <c r="B710" s="11"/>
      <c r="C710" s="11" t="str">
        <f t="array" ref="C710">IF($B710="","",IFERROR(INDEX(Estimasi!$I$2:$I$1000,MATCH($B710,Estimasi!$H$2:$H$1000,0)),""))</f>
        <v/>
      </c>
      <c r="D710" s="32" t="str">
        <f t="array" ref="D710">IF($C710="","",IFERROR(INDEX(Estimasi!$M$2:$M$1000,MATCH($C710,Estimasi!$L$2:$L$1000,0)),""))</f>
        <v/>
      </c>
      <c r="E710" s="32"/>
      <c r="F710" s="32" t="str">
        <f t="shared" si="4"/>
        <v/>
      </c>
      <c r="G710" s="11" t="str">
        <f t="shared" si="5"/>
        <v/>
      </c>
    </row>
    <row r="711" ht="15.75" customHeight="1">
      <c r="A711" s="52"/>
      <c r="B711" s="11"/>
      <c r="C711" s="11" t="str">
        <f t="array" ref="C711">IF($B711="","",IFERROR(INDEX(Estimasi!$I$2:$I$1000,MATCH($B711,Estimasi!$H$2:$H$1000,0)),""))</f>
        <v/>
      </c>
      <c r="D711" s="32" t="str">
        <f t="array" ref="D711">IF($C711="","",IFERROR(INDEX(Estimasi!$M$2:$M$1000,MATCH($C711,Estimasi!$L$2:$L$1000,0)),""))</f>
        <v/>
      </c>
      <c r="E711" s="32"/>
      <c r="F711" s="32" t="str">
        <f t="shared" si="4"/>
        <v/>
      </c>
      <c r="G711" s="11" t="str">
        <f t="shared" si="5"/>
        <v/>
      </c>
    </row>
    <row r="712" ht="15.75" customHeight="1">
      <c r="A712" s="52"/>
      <c r="B712" s="11"/>
      <c r="C712" s="11" t="str">
        <f t="array" ref="C712">IF($B712="","",IFERROR(INDEX(Estimasi!$I$2:$I$1000,MATCH($B712,Estimasi!$H$2:$H$1000,0)),""))</f>
        <v/>
      </c>
      <c r="D712" s="32" t="str">
        <f t="array" ref="D712">IF($C712="","",IFERROR(INDEX(Estimasi!$M$2:$M$1000,MATCH($C712,Estimasi!$L$2:$L$1000,0)),""))</f>
        <v/>
      </c>
      <c r="E712" s="32"/>
      <c r="F712" s="32" t="str">
        <f t="shared" si="4"/>
        <v/>
      </c>
      <c r="G712" s="11" t="str">
        <f t="shared" si="5"/>
        <v/>
      </c>
    </row>
    <row r="713" ht="15.75" customHeight="1">
      <c r="A713" s="52"/>
      <c r="B713" s="11"/>
      <c r="C713" s="11" t="str">
        <f t="array" ref="C713">IF($B713="","",IFERROR(INDEX(Estimasi!$I$2:$I$1000,MATCH($B713,Estimasi!$H$2:$H$1000,0)),""))</f>
        <v/>
      </c>
      <c r="D713" s="32" t="str">
        <f t="array" ref="D713">IF($C713="","",IFERROR(INDEX(Estimasi!$M$2:$M$1000,MATCH($C713,Estimasi!$L$2:$L$1000,0)),""))</f>
        <v/>
      </c>
      <c r="E713" s="32"/>
      <c r="F713" s="32" t="str">
        <f t="shared" si="4"/>
        <v/>
      </c>
      <c r="G713" s="11" t="str">
        <f t="shared" si="5"/>
        <v/>
      </c>
    </row>
    <row r="714" ht="15.75" customHeight="1">
      <c r="A714" s="52"/>
      <c r="B714" s="11"/>
      <c r="C714" s="11" t="str">
        <f t="array" ref="C714">IF($B714="","",IFERROR(INDEX(Estimasi!$I$2:$I$1000,MATCH($B714,Estimasi!$H$2:$H$1000,0)),""))</f>
        <v/>
      </c>
      <c r="D714" s="32" t="str">
        <f t="array" ref="D714">IF($C714="","",IFERROR(INDEX(Estimasi!$M$2:$M$1000,MATCH($C714,Estimasi!$L$2:$L$1000,0)),""))</f>
        <v/>
      </c>
      <c r="E714" s="32"/>
      <c r="F714" s="32" t="str">
        <f t="shared" si="4"/>
        <v/>
      </c>
      <c r="G714" s="11" t="str">
        <f t="shared" si="5"/>
        <v/>
      </c>
    </row>
    <row r="715" ht="15.75" customHeight="1">
      <c r="A715" s="52"/>
      <c r="B715" s="11"/>
      <c r="C715" s="11" t="str">
        <f t="array" ref="C715">IF($B715="","",IFERROR(INDEX(Estimasi!$I$2:$I$1000,MATCH($B715,Estimasi!$H$2:$H$1000,0)),""))</f>
        <v/>
      </c>
      <c r="D715" s="32" t="str">
        <f t="array" ref="D715">IF($C715="","",IFERROR(INDEX(Estimasi!$M$2:$M$1000,MATCH($C715,Estimasi!$L$2:$L$1000,0)),""))</f>
        <v/>
      </c>
      <c r="E715" s="32"/>
      <c r="F715" s="32" t="str">
        <f t="shared" si="4"/>
        <v/>
      </c>
      <c r="G715" s="11" t="str">
        <f t="shared" si="5"/>
        <v/>
      </c>
    </row>
    <row r="716" ht="15.75" customHeight="1">
      <c r="A716" s="52"/>
      <c r="B716" s="11"/>
      <c r="C716" s="11" t="str">
        <f t="array" ref="C716">IF($B716="","",IFERROR(INDEX(Estimasi!$I$2:$I$1000,MATCH($B716,Estimasi!$H$2:$H$1000,0)),""))</f>
        <v/>
      </c>
      <c r="D716" s="32" t="str">
        <f t="array" ref="D716">IF($C716="","",IFERROR(INDEX(Estimasi!$M$2:$M$1000,MATCH($C716,Estimasi!$L$2:$L$1000,0)),""))</f>
        <v/>
      </c>
      <c r="E716" s="32"/>
      <c r="F716" s="32" t="str">
        <f t="shared" si="4"/>
        <v/>
      </c>
      <c r="G716" s="11" t="str">
        <f t="shared" si="5"/>
        <v/>
      </c>
    </row>
    <row r="717" ht="15.75" customHeight="1">
      <c r="A717" s="52"/>
      <c r="B717" s="11"/>
      <c r="C717" s="11" t="str">
        <f t="array" ref="C717">IF($B717="","",IFERROR(INDEX(Estimasi!$I$2:$I$1000,MATCH($B717,Estimasi!$H$2:$H$1000,0)),""))</f>
        <v/>
      </c>
      <c r="D717" s="32" t="str">
        <f t="array" ref="D717">IF($C717="","",IFERROR(INDEX(Estimasi!$M$2:$M$1000,MATCH($C717,Estimasi!$L$2:$L$1000,0)),""))</f>
        <v/>
      </c>
      <c r="E717" s="32"/>
      <c r="F717" s="32" t="str">
        <f t="shared" si="4"/>
        <v/>
      </c>
      <c r="G717" s="11" t="str">
        <f t="shared" si="5"/>
        <v/>
      </c>
    </row>
    <row r="718" ht="15.75" customHeight="1">
      <c r="A718" s="52"/>
      <c r="B718" s="11"/>
      <c r="C718" s="11" t="str">
        <f t="array" ref="C718">IF($B718="","",IFERROR(INDEX(Estimasi!$I$2:$I$1000,MATCH($B718,Estimasi!$H$2:$H$1000,0)),""))</f>
        <v/>
      </c>
      <c r="D718" s="32" t="str">
        <f t="array" ref="D718">IF($C718="","",IFERROR(INDEX(Estimasi!$M$2:$M$1000,MATCH($C718,Estimasi!$L$2:$L$1000,0)),""))</f>
        <v/>
      </c>
      <c r="E718" s="32"/>
      <c r="F718" s="32" t="str">
        <f t="shared" si="4"/>
        <v/>
      </c>
      <c r="G718" s="11" t="str">
        <f t="shared" si="5"/>
        <v/>
      </c>
    </row>
    <row r="719" ht="15.75" customHeight="1">
      <c r="A719" s="52"/>
      <c r="B719" s="11"/>
      <c r="C719" s="11" t="str">
        <f t="array" ref="C719">IF($B719="","",IFERROR(INDEX(Estimasi!$I$2:$I$1000,MATCH($B719,Estimasi!$H$2:$H$1000,0)),""))</f>
        <v/>
      </c>
      <c r="D719" s="32" t="str">
        <f t="array" ref="D719">IF($C719="","",IFERROR(INDEX(Estimasi!$M$2:$M$1000,MATCH($C719,Estimasi!$L$2:$L$1000,0)),""))</f>
        <v/>
      </c>
      <c r="E719" s="32"/>
      <c r="F719" s="32" t="str">
        <f t="shared" si="4"/>
        <v/>
      </c>
      <c r="G719" s="11" t="str">
        <f t="shared" si="5"/>
        <v/>
      </c>
    </row>
    <row r="720" ht="15.75" customHeight="1">
      <c r="A720" s="52"/>
      <c r="B720" s="11"/>
      <c r="C720" s="11" t="str">
        <f t="array" ref="C720">IF($B720="","",IFERROR(INDEX(Estimasi!$I$2:$I$1000,MATCH($B720,Estimasi!$H$2:$H$1000,0)),""))</f>
        <v/>
      </c>
      <c r="D720" s="32" t="str">
        <f t="array" ref="D720">IF($C720="","",IFERROR(INDEX(Estimasi!$M$2:$M$1000,MATCH($C720,Estimasi!$L$2:$L$1000,0)),""))</f>
        <v/>
      </c>
      <c r="E720" s="32"/>
      <c r="F720" s="32" t="str">
        <f t="shared" si="4"/>
        <v/>
      </c>
      <c r="G720" s="11" t="str">
        <f t="shared" si="5"/>
        <v/>
      </c>
    </row>
    <row r="721" ht="15.75" customHeight="1">
      <c r="A721" s="52"/>
      <c r="B721" s="11"/>
      <c r="C721" s="11" t="str">
        <f t="array" ref="C721">IF($B721="","",IFERROR(INDEX(Estimasi!$I$2:$I$1000,MATCH($B721,Estimasi!$H$2:$H$1000,0)),""))</f>
        <v/>
      </c>
      <c r="D721" s="32" t="str">
        <f t="array" ref="D721">IF($C721="","",IFERROR(INDEX(Estimasi!$M$2:$M$1000,MATCH($C721,Estimasi!$L$2:$L$1000,0)),""))</f>
        <v/>
      </c>
      <c r="E721" s="32"/>
      <c r="F721" s="32" t="str">
        <f t="shared" si="4"/>
        <v/>
      </c>
      <c r="G721" s="11" t="str">
        <f t="shared" si="5"/>
        <v/>
      </c>
    </row>
    <row r="722" ht="15.75" customHeight="1">
      <c r="A722" s="52"/>
      <c r="B722" s="11"/>
      <c r="C722" s="11" t="str">
        <f t="array" ref="C722">IF($B722="","",IFERROR(INDEX(Estimasi!$I$2:$I$1000,MATCH($B722,Estimasi!$H$2:$H$1000,0)),""))</f>
        <v/>
      </c>
      <c r="D722" s="32" t="str">
        <f t="array" ref="D722">IF($C722="","",IFERROR(INDEX(Estimasi!$M$2:$M$1000,MATCH($C722,Estimasi!$L$2:$L$1000,0)),""))</f>
        <v/>
      </c>
      <c r="E722" s="32"/>
      <c r="F722" s="32" t="str">
        <f t="shared" si="4"/>
        <v/>
      </c>
      <c r="G722" s="11" t="str">
        <f t="shared" si="5"/>
        <v/>
      </c>
    </row>
    <row r="723" ht="15.75" customHeight="1">
      <c r="A723" s="52"/>
      <c r="B723" s="11"/>
      <c r="C723" s="11" t="str">
        <f t="array" ref="C723">IF($B723="","",IFERROR(INDEX(Estimasi!$I$2:$I$1000,MATCH($B723,Estimasi!$H$2:$H$1000,0)),""))</f>
        <v/>
      </c>
      <c r="D723" s="32" t="str">
        <f t="array" ref="D723">IF($C723="","",IFERROR(INDEX(Estimasi!$M$2:$M$1000,MATCH($C723,Estimasi!$L$2:$L$1000,0)),""))</f>
        <v/>
      </c>
      <c r="E723" s="32"/>
      <c r="F723" s="32" t="str">
        <f t="shared" si="4"/>
        <v/>
      </c>
      <c r="G723" s="11" t="str">
        <f t="shared" si="5"/>
        <v/>
      </c>
    </row>
    <row r="724" ht="15.75" customHeight="1">
      <c r="A724" s="52"/>
      <c r="B724" s="11"/>
      <c r="C724" s="11" t="str">
        <f t="array" ref="C724">IF($B724="","",IFERROR(INDEX(Estimasi!$I$2:$I$1000,MATCH($B724,Estimasi!$H$2:$H$1000,0)),""))</f>
        <v/>
      </c>
      <c r="D724" s="32" t="str">
        <f t="array" ref="D724">IF($C724="","",IFERROR(INDEX(Estimasi!$M$2:$M$1000,MATCH($C724,Estimasi!$L$2:$L$1000,0)),""))</f>
        <v/>
      </c>
      <c r="E724" s="32"/>
      <c r="F724" s="32" t="str">
        <f t="shared" si="4"/>
        <v/>
      </c>
      <c r="G724" s="11" t="str">
        <f t="shared" si="5"/>
        <v/>
      </c>
    </row>
    <row r="725" ht="15.75" customHeight="1">
      <c r="A725" s="52"/>
      <c r="B725" s="11"/>
      <c r="C725" s="11" t="str">
        <f t="array" ref="C725">IF($B725="","",IFERROR(INDEX(Estimasi!$I$2:$I$1000,MATCH($B725,Estimasi!$H$2:$H$1000,0)),""))</f>
        <v/>
      </c>
      <c r="D725" s="32" t="str">
        <f t="array" ref="D725">IF($C725="","",IFERROR(INDEX(Estimasi!$M$2:$M$1000,MATCH($C725,Estimasi!$L$2:$L$1000,0)),""))</f>
        <v/>
      </c>
      <c r="E725" s="32"/>
      <c r="F725" s="32" t="str">
        <f t="shared" si="4"/>
        <v/>
      </c>
      <c r="G725" s="11" t="str">
        <f t="shared" si="5"/>
        <v/>
      </c>
    </row>
    <row r="726" ht="15.75" customHeight="1">
      <c r="A726" s="52"/>
      <c r="B726" s="11"/>
      <c r="C726" s="11" t="str">
        <f t="array" ref="C726">IF($B726="","",IFERROR(INDEX(Estimasi!$I$2:$I$1000,MATCH($B726,Estimasi!$H$2:$H$1000,0)),""))</f>
        <v/>
      </c>
      <c r="D726" s="32" t="str">
        <f t="array" ref="D726">IF($C726="","",IFERROR(INDEX(Estimasi!$M$2:$M$1000,MATCH($C726,Estimasi!$L$2:$L$1000,0)),""))</f>
        <v/>
      </c>
      <c r="E726" s="32"/>
      <c r="F726" s="32" t="str">
        <f t="shared" si="4"/>
        <v/>
      </c>
      <c r="G726" s="11" t="str">
        <f t="shared" si="5"/>
        <v/>
      </c>
    </row>
    <row r="727" ht="15.75" customHeight="1">
      <c r="A727" s="52"/>
      <c r="B727" s="11"/>
      <c r="C727" s="11" t="str">
        <f t="array" ref="C727">IF($B727="","",IFERROR(INDEX(Estimasi!$I$2:$I$1000,MATCH($B727,Estimasi!$H$2:$H$1000,0)),""))</f>
        <v/>
      </c>
      <c r="D727" s="32" t="str">
        <f t="array" ref="D727">IF($C727="","",IFERROR(INDEX(Estimasi!$M$2:$M$1000,MATCH($C727,Estimasi!$L$2:$L$1000,0)),""))</f>
        <v/>
      </c>
      <c r="E727" s="32"/>
      <c r="F727" s="32" t="str">
        <f t="shared" si="4"/>
        <v/>
      </c>
      <c r="G727" s="11" t="str">
        <f t="shared" si="5"/>
        <v/>
      </c>
    </row>
    <row r="728" ht="15.75" customHeight="1">
      <c r="A728" s="52"/>
      <c r="B728" s="11"/>
      <c r="C728" s="11" t="str">
        <f t="array" ref="C728">IF($B728="","",IFERROR(INDEX(Estimasi!$I$2:$I$1000,MATCH($B728,Estimasi!$H$2:$H$1000,0)),""))</f>
        <v/>
      </c>
      <c r="D728" s="32" t="str">
        <f t="array" ref="D728">IF($C728="","",IFERROR(INDEX(Estimasi!$M$2:$M$1000,MATCH($C728,Estimasi!$L$2:$L$1000,0)),""))</f>
        <v/>
      </c>
      <c r="E728" s="32"/>
      <c r="F728" s="32" t="str">
        <f t="shared" si="4"/>
        <v/>
      </c>
      <c r="G728" s="11" t="str">
        <f t="shared" si="5"/>
        <v/>
      </c>
    </row>
    <row r="729" ht="15.75" customHeight="1">
      <c r="A729" s="52"/>
      <c r="B729" s="11"/>
      <c r="C729" s="11" t="str">
        <f t="array" ref="C729">IF($B729="","",IFERROR(INDEX(Estimasi!$I$2:$I$1000,MATCH($B729,Estimasi!$H$2:$H$1000,0)),""))</f>
        <v/>
      </c>
      <c r="D729" s="32" t="str">
        <f t="array" ref="D729">IF($C729="","",IFERROR(INDEX(Estimasi!$M$2:$M$1000,MATCH($C729,Estimasi!$L$2:$L$1000,0)),""))</f>
        <v/>
      </c>
      <c r="E729" s="32"/>
      <c r="F729" s="32" t="str">
        <f t="shared" si="4"/>
        <v/>
      </c>
      <c r="G729" s="11" t="str">
        <f t="shared" si="5"/>
        <v/>
      </c>
    </row>
    <row r="730" ht="15.75" customHeight="1">
      <c r="A730" s="52"/>
      <c r="B730" s="11"/>
      <c r="C730" s="11" t="str">
        <f t="array" ref="C730">IF($B730="","",IFERROR(INDEX(Estimasi!$I$2:$I$1000,MATCH($B730,Estimasi!$H$2:$H$1000,0)),""))</f>
        <v/>
      </c>
      <c r="D730" s="32" t="str">
        <f t="array" ref="D730">IF($C730="","",IFERROR(INDEX(Estimasi!$M$2:$M$1000,MATCH($C730,Estimasi!$L$2:$L$1000,0)),""))</f>
        <v/>
      </c>
      <c r="E730" s="32"/>
      <c r="F730" s="32" t="str">
        <f t="shared" si="4"/>
        <v/>
      </c>
      <c r="G730" s="11" t="str">
        <f t="shared" si="5"/>
        <v/>
      </c>
    </row>
    <row r="731" ht="15.75" customHeight="1">
      <c r="A731" s="52"/>
      <c r="B731" s="11"/>
      <c r="C731" s="11" t="str">
        <f t="array" ref="C731">IF($B731="","",IFERROR(INDEX(Estimasi!$I$2:$I$1000,MATCH($B731,Estimasi!$H$2:$H$1000,0)),""))</f>
        <v/>
      </c>
      <c r="D731" s="32" t="str">
        <f t="array" ref="D731">IF($C731="","",IFERROR(INDEX(Estimasi!$M$2:$M$1000,MATCH($C731,Estimasi!$L$2:$L$1000,0)),""))</f>
        <v/>
      </c>
      <c r="E731" s="32"/>
      <c r="F731" s="32" t="str">
        <f t="shared" si="4"/>
        <v/>
      </c>
      <c r="G731" s="11" t="str">
        <f t="shared" si="5"/>
        <v/>
      </c>
    </row>
    <row r="732" ht="15.75" customHeight="1">
      <c r="A732" s="52"/>
      <c r="B732" s="11"/>
      <c r="C732" s="11" t="str">
        <f t="array" ref="C732">IF($B732="","",IFERROR(INDEX(Estimasi!$I$2:$I$1000,MATCH($B732,Estimasi!$H$2:$H$1000,0)),""))</f>
        <v/>
      </c>
      <c r="D732" s="32" t="str">
        <f t="array" ref="D732">IF($C732="","",IFERROR(INDEX(Estimasi!$M$2:$M$1000,MATCH($C732,Estimasi!$L$2:$L$1000,0)),""))</f>
        <v/>
      </c>
      <c r="E732" s="32"/>
      <c r="F732" s="32" t="str">
        <f t="shared" si="4"/>
        <v/>
      </c>
      <c r="G732" s="11" t="str">
        <f t="shared" si="5"/>
        <v/>
      </c>
    </row>
    <row r="733" ht="15.75" customHeight="1">
      <c r="A733" s="52"/>
      <c r="B733" s="11"/>
      <c r="C733" s="11" t="str">
        <f t="array" ref="C733">IF($B733="","",IFERROR(INDEX(Estimasi!$I$2:$I$1000,MATCH($B733,Estimasi!$H$2:$H$1000,0)),""))</f>
        <v/>
      </c>
      <c r="D733" s="32" t="str">
        <f t="array" ref="D733">IF($C733="","",IFERROR(INDEX(Estimasi!$M$2:$M$1000,MATCH($C733,Estimasi!$L$2:$L$1000,0)),""))</f>
        <v/>
      </c>
      <c r="E733" s="32"/>
      <c r="F733" s="32" t="str">
        <f t="shared" si="4"/>
        <v/>
      </c>
      <c r="G733" s="11" t="str">
        <f t="shared" si="5"/>
        <v/>
      </c>
    </row>
    <row r="734" ht="15.75" customHeight="1">
      <c r="A734" s="52"/>
      <c r="B734" s="11"/>
      <c r="C734" s="11" t="str">
        <f t="array" ref="C734">IF($B734="","",IFERROR(INDEX(Estimasi!$I$2:$I$1000,MATCH($B734,Estimasi!$H$2:$H$1000,0)),""))</f>
        <v/>
      </c>
      <c r="D734" s="32" t="str">
        <f t="array" ref="D734">IF($C734="","",IFERROR(INDEX(Estimasi!$M$2:$M$1000,MATCH($C734,Estimasi!$L$2:$L$1000,0)),""))</f>
        <v/>
      </c>
      <c r="E734" s="32"/>
      <c r="F734" s="32" t="str">
        <f t="shared" si="4"/>
        <v/>
      </c>
      <c r="G734" s="11" t="str">
        <f t="shared" si="5"/>
        <v/>
      </c>
    </row>
    <row r="735" ht="15.75" customHeight="1">
      <c r="A735" s="52"/>
      <c r="B735" s="11"/>
      <c r="C735" s="11" t="str">
        <f t="array" ref="C735">IF($B735="","",IFERROR(INDEX(Estimasi!$I$2:$I$1000,MATCH($B735,Estimasi!$H$2:$H$1000,0)),""))</f>
        <v/>
      </c>
      <c r="D735" s="32" t="str">
        <f t="array" ref="D735">IF($C735="","",IFERROR(INDEX(Estimasi!$M$2:$M$1000,MATCH($C735,Estimasi!$L$2:$L$1000,0)),""))</f>
        <v/>
      </c>
      <c r="E735" s="32"/>
      <c r="F735" s="32" t="str">
        <f t="shared" si="4"/>
        <v/>
      </c>
      <c r="G735" s="11" t="str">
        <f t="shared" si="5"/>
        <v/>
      </c>
    </row>
    <row r="736" ht="15.75" customHeight="1">
      <c r="A736" s="52"/>
      <c r="B736" s="11"/>
      <c r="C736" s="11" t="str">
        <f t="array" ref="C736">IF($B736="","",IFERROR(INDEX(Estimasi!$I$2:$I$1000,MATCH($B736,Estimasi!$H$2:$H$1000,0)),""))</f>
        <v/>
      </c>
      <c r="D736" s="32" t="str">
        <f t="array" ref="D736">IF($C736="","",IFERROR(INDEX(Estimasi!$M$2:$M$1000,MATCH($C736,Estimasi!$L$2:$L$1000,0)),""))</f>
        <v/>
      </c>
      <c r="E736" s="32"/>
      <c r="F736" s="32" t="str">
        <f t="shared" si="4"/>
        <v/>
      </c>
      <c r="G736" s="11" t="str">
        <f t="shared" si="5"/>
        <v/>
      </c>
    </row>
    <row r="737" ht="15.75" customHeight="1">
      <c r="A737" s="52"/>
      <c r="B737" s="11"/>
      <c r="C737" s="11" t="str">
        <f t="array" ref="C737">IF($B737="","",IFERROR(INDEX(Estimasi!$I$2:$I$1000,MATCH($B737,Estimasi!$H$2:$H$1000,0)),""))</f>
        <v/>
      </c>
      <c r="D737" s="32" t="str">
        <f t="array" ref="D737">IF($C737="","",IFERROR(INDEX(Estimasi!$M$2:$M$1000,MATCH($C737,Estimasi!$L$2:$L$1000,0)),""))</f>
        <v/>
      </c>
      <c r="E737" s="32"/>
      <c r="F737" s="32" t="str">
        <f t="shared" si="4"/>
        <v/>
      </c>
      <c r="G737" s="11" t="str">
        <f t="shared" si="5"/>
        <v/>
      </c>
    </row>
    <row r="738" ht="15.75" customHeight="1">
      <c r="A738" s="52"/>
      <c r="B738" s="11"/>
      <c r="C738" s="11" t="str">
        <f t="array" ref="C738">IF($B738="","",IFERROR(INDEX(Estimasi!$I$2:$I$1000,MATCH($B738,Estimasi!$H$2:$H$1000,0)),""))</f>
        <v/>
      </c>
      <c r="D738" s="32" t="str">
        <f t="array" ref="D738">IF($C738="","",IFERROR(INDEX(Estimasi!$M$2:$M$1000,MATCH($C738,Estimasi!$L$2:$L$1000,0)),""))</f>
        <v/>
      </c>
      <c r="E738" s="32"/>
      <c r="F738" s="32" t="str">
        <f t="shared" si="4"/>
        <v/>
      </c>
      <c r="G738" s="11" t="str">
        <f t="shared" si="5"/>
        <v/>
      </c>
    </row>
    <row r="739" ht="15.75" customHeight="1">
      <c r="A739" s="52"/>
      <c r="B739" s="11"/>
      <c r="C739" s="11" t="str">
        <f t="array" ref="C739">IF($B739="","",IFERROR(INDEX(Estimasi!$I$2:$I$1000,MATCH($B739,Estimasi!$H$2:$H$1000,0)),""))</f>
        <v/>
      </c>
      <c r="D739" s="32" t="str">
        <f t="array" ref="D739">IF($C739="","",IFERROR(INDEX(Estimasi!$M$2:$M$1000,MATCH($C739,Estimasi!$L$2:$L$1000,0)),""))</f>
        <v/>
      </c>
      <c r="E739" s="32"/>
      <c r="F739" s="32" t="str">
        <f t="shared" si="4"/>
        <v/>
      </c>
      <c r="G739" s="11" t="str">
        <f t="shared" si="5"/>
        <v/>
      </c>
    </row>
    <row r="740" ht="15.75" customHeight="1">
      <c r="A740" s="52"/>
      <c r="B740" s="11"/>
      <c r="C740" s="11" t="str">
        <f t="array" ref="C740">IF($B740="","",IFERROR(INDEX(Estimasi!$I$2:$I$1000,MATCH($B740,Estimasi!$H$2:$H$1000,0)),""))</f>
        <v/>
      </c>
      <c r="D740" s="32" t="str">
        <f t="array" ref="D740">IF($C740="","",IFERROR(INDEX(Estimasi!$M$2:$M$1000,MATCH($C740,Estimasi!$L$2:$L$1000,0)),""))</f>
        <v/>
      </c>
      <c r="E740" s="32"/>
      <c r="F740" s="32" t="str">
        <f t="shared" si="4"/>
        <v/>
      </c>
      <c r="G740" s="11" t="str">
        <f t="shared" si="5"/>
        <v/>
      </c>
    </row>
    <row r="741" ht="15.75" customHeight="1">
      <c r="A741" s="52"/>
      <c r="B741" s="11"/>
      <c r="C741" s="11" t="str">
        <f t="array" ref="C741">IF($B741="","",IFERROR(INDEX(Estimasi!$I$2:$I$1000,MATCH($B741,Estimasi!$H$2:$H$1000,0)),""))</f>
        <v/>
      </c>
      <c r="D741" s="32" t="str">
        <f t="array" ref="D741">IF($C741="","",IFERROR(INDEX(Estimasi!$M$2:$M$1000,MATCH($C741,Estimasi!$L$2:$L$1000,0)),""))</f>
        <v/>
      </c>
      <c r="E741" s="32"/>
      <c r="F741" s="32" t="str">
        <f t="shared" si="4"/>
        <v/>
      </c>
      <c r="G741" s="11" t="str">
        <f t="shared" si="5"/>
        <v/>
      </c>
    </row>
    <row r="742" ht="15.75" customHeight="1">
      <c r="A742" s="52"/>
      <c r="B742" s="11"/>
      <c r="C742" s="11" t="str">
        <f t="array" ref="C742">IF($B742="","",IFERROR(INDEX(Estimasi!$I$2:$I$1000,MATCH($B742,Estimasi!$H$2:$H$1000,0)),""))</f>
        <v/>
      </c>
      <c r="D742" s="32" t="str">
        <f t="array" ref="D742">IF($C742="","",IFERROR(INDEX(Estimasi!$M$2:$M$1000,MATCH($C742,Estimasi!$L$2:$L$1000,0)),""))</f>
        <v/>
      </c>
      <c r="E742" s="32"/>
      <c r="F742" s="32" t="str">
        <f t="shared" si="4"/>
        <v/>
      </c>
      <c r="G742" s="11" t="str">
        <f t="shared" si="5"/>
        <v/>
      </c>
    </row>
    <row r="743" ht="15.75" customHeight="1">
      <c r="A743" s="52"/>
      <c r="B743" s="11"/>
      <c r="C743" s="11" t="str">
        <f t="array" ref="C743">IF($B743="","",IFERROR(INDEX(Estimasi!$I$2:$I$1000,MATCH($B743,Estimasi!$H$2:$H$1000,0)),""))</f>
        <v/>
      </c>
      <c r="D743" s="32" t="str">
        <f t="array" ref="D743">IF($C743="","",IFERROR(INDEX(Estimasi!$M$2:$M$1000,MATCH($C743,Estimasi!$L$2:$L$1000,0)),""))</f>
        <v/>
      </c>
      <c r="E743" s="32"/>
      <c r="F743" s="32" t="str">
        <f t="shared" si="4"/>
        <v/>
      </c>
      <c r="G743" s="11" t="str">
        <f t="shared" si="5"/>
        <v/>
      </c>
    </row>
    <row r="744" ht="15.75" customHeight="1">
      <c r="A744" s="52"/>
      <c r="B744" s="11"/>
      <c r="C744" s="11" t="str">
        <f t="array" ref="C744">IF($B744="","",IFERROR(INDEX(Estimasi!$I$2:$I$1000,MATCH($B744,Estimasi!$H$2:$H$1000,0)),""))</f>
        <v/>
      </c>
      <c r="D744" s="32" t="str">
        <f t="array" ref="D744">IF($C744="","",IFERROR(INDEX(Estimasi!$M$2:$M$1000,MATCH($C744,Estimasi!$L$2:$L$1000,0)),""))</f>
        <v/>
      </c>
      <c r="E744" s="32"/>
      <c r="F744" s="32" t="str">
        <f t="shared" si="4"/>
        <v/>
      </c>
      <c r="G744" s="11" t="str">
        <f t="shared" si="5"/>
        <v/>
      </c>
    </row>
    <row r="745" ht="15.75" customHeight="1">
      <c r="A745" s="52"/>
      <c r="B745" s="11"/>
      <c r="C745" s="11" t="str">
        <f t="array" ref="C745">IF($B745="","",IFERROR(INDEX(Estimasi!$I$2:$I$1000,MATCH($B745,Estimasi!$H$2:$H$1000,0)),""))</f>
        <v/>
      </c>
      <c r="D745" s="32" t="str">
        <f t="array" ref="D745">IF($C745="","",IFERROR(INDEX(Estimasi!$M$2:$M$1000,MATCH($C745,Estimasi!$L$2:$L$1000,0)),""))</f>
        <v/>
      </c>
      <c r="E745" s="32"/>
      <c r="F745" s="32" t="str">
        <f t="shared" si="4"/>
        <v/>
      </c>
      <c r="G745" s="11" t="str">
        <f t="shared" si="5"/>
        <v/>
      </c>
    </row>
    <row r="746" ht="15.75" customHeight="1">
      <c r="A746" s="52"/>
      <c r="B746" s="11"/>
      <c r="C746" s="11" t="str">
        <f t="array" ref="C746">IF($B746="","",IFERROR(INDEX(Estimasi!$I$2:$I$1000,MATCH($B746,Estimasi!$H$2:$H$1000,0)),""))</f>
        <v/>
      </c>
      <c r="D746" s="32" t="str">
        <f t="array" ref="D746">IF($C746="","",IFERROR(INDEX(Estimasi!$M$2:$M$1000,MATCH($C746,Estimasi!$L$2:$L$1000,0)),""))</f>
        <v/>
      </c>
      <c r="E746" s="32"/>
      <c r="F746" s="32" t="str">
        <f t="shared" si="4"/>
        <v/>
      </c>
      <c r="G746" s="11" t="str">
        <f t="shared" si="5"/>
        <v/>
      </c>
    </row>
    <row r="747" ht="15.75" customHeight="1">
      <c r="A747" s="52"/>
      <c r="B747" s="11"/>
      <c r="C747" s="11" t="str">
        <f t="array" ref="C747">IF($B747="","",IFERROR(INDEX(Estimasi!$I$2:$I$1000,MATCH($B747,Estimasi!$H$2:$H$1000,0)),""))</f>
        <v/>
      </c>
      <c r="D747" s="32" t="str">
        <f t="array" ref="D747">IF($C747="","",IFERROR(INDEX(Estimasi!$M$2:$M$1000,MATCH($C747,Estimasi!$L$2:$L$1000,0)),""))</f>
        <v/>
      </c>
      <c r="E747" s="32"/>
      <c r="F747" s="32" t="str">
        <f t="shared" si="4"/>
        <v/>
      </c>
      <c r="G747" s="11" t="str">
        <f t="shared" si="5"/>
        <v/>
      </c>
    </row>
    <row r="748" ht="15.75" customHeight="1">
      <c r="A748" s="52"/>
      <c r="B748" s="11"/>
      <c r="C748" s="11" t="str">
        <f t="array" ref="C748">IF($B748="","",IFERROR(INDEX(Estimasi!$I$2:$I$1000,MATCH($B748,Estimasi!$H$2:$H$1000,0)),""))</f>
        <v/>
      </c>
      <c r="D748" s="32" t="str">
        <f t="array" ref="D748">IF($C748="","",IFERROR(INDEX(Estimasi!$M$2:$M$1000,MATCH($C748,Estimasi!$L$2:$L$1000,0)),""))</f>
        <v/>
      </c>
      <c r="E748" s="32"/>
      <c r="F748" s="32" t="str">
        <f t="shared" si="4"/>
        <v/>
      </c>
      <c r="G748" s="11" t="str">
        <f t="shared" si="5"/>
        <v/>
      </c>
    </row>
    <row r="749" ht="15.75" customHeight="1">
      <c r="A749" s="52"/>
      <c r="B749" s="11"/>
      <c r="C749" s="11" t="str">
        <f t="array" ref="C749">IF($B749="","",IFERROR(INDEX(Estimasi!$I$2:$I$1000,MATCH($B749,Estimasi!$H$2:$H$1000,0)),""))</f>
        <v/>
      </c>
      <c r="D749" s="32" t="str">
        <f t="array" ref="D749">IF($C749="","",IFERROR(INDEX(Estimasi!$M$2:$M$1000,MATCH($C749,Estimasi!$L$2:$L$1000,0)),""))</f>
        <v/>
      </c>
      <c r="E749" s="32"/>
      <c r="F749" s="32" t="str">
        <f t="shared" si="4"/>
        <v/>
      </c>
      <c r="G749" s="11" t="str">
        <f t="shared" si="5"/>
        <v/>
      </c>
    </row>
    <row r="750" ht="15.75" customHeight="1">
      <c r="A750" s="52"/>
      <c r="B750" s="11"/>
      <c r="C750" s="11" t="str">
        <f t="array" ref="C750">IF($B750="","",IFERROR(INDEX(Estimasi!$I$2:$I$1000,MATCH($B750,Estimasi!$H$2:$H$1000,0)),""))</f>
        <v/>
      </c>
      <c r="D750" s="32" t="str">
        <f t="array" ref="D750">IF($C750="","",IFERROR(INDEX(Estimasi!$M$2:$M$1000,MATCH($C750,Estimasi!$L$2:$L$1000,0)),""))</f>
        <v/>
      </c>
      <c r="E750" s="32"/>
      <c r="F750" s="32" t="str">
        <f t="shared" si="4"/>
        <v/>
      </c>
      <c r="G750" s="11" t="str">
        <f t="shared" si="5"/>
        <v/>
      </c>
    </row>
    <row r="751" ht="15.75" customHeight="1">
      <c r="A751" s="52"/>
      <c r="B751" s="11"/>
      <c r="C751" s="11" t="str">
        <f t="array" ref="C751">IF($B751="","",IFERROR(INDEX(Estimasi!$I$2:$I$1000,MATCH($B751,Estimasi!$H$2:$H$1000,0)),""))</f>
        <v/>
      </c>
      <c r="D751" s="32" t="str">
        <f t="array" ref="D751">IF($C751="","",IFERROR(INDEX(Estimasi!$M$2:$M$1000,MATCH($C751,Estimasi!$L$2:$L$1000,0)),""))</f>
        <v/>
      </c>
      <c r="E751" s="32"/>
      <c r="F751" s="32" t="str">
        <f t="shared" si="4"/>
        <v/>
      </c>
      <c r="G751" s="11" t="str">
        <f t="shared" si="5"/>
        <v/>
      </c>
    </row>
    <row r="752" ht="15.75" customHeight="1">
      <c r="A752" s="52"/>
      <c r="B752" s="11"/>
      <c r="C752" s="11" t="str">
        <f t="array" ref="C752">IF($B752="","",IFERROR(INDEX(Estimasi!$I$2:$I$1000,MATCH($B752,Estimasi!$H$2:$H$1000,0)),""))</f>
        <v/>
      </c>
      <c r="D752" s="32" t="str">
        <f t="array" ref="D752">IF($C752="","",IFERROR(INDEX(Estimasi!$M$2:$M$1000,MATCH($C752,Estimasi!$L$2:$L$1000,0)),""))</f>
        <v/>
      </c>
      <c r="E752" s="32"/>
      <c r="F752" s="32" t="str">
        <f t="shared" si="4"/>
        <v/>
      </c>
      <c r="G752" s="11" t="str">
        <f t="shared" si="5"/>
        <v/>
      </c>
    </row>
    <row r="753" ht="15.75" customHeight="1">
      <c r="A753" s="52"/>
      <c r="B753" s="11"/>
      <c r="C753" s="11" t="str">
        <f t="array" ref="C753">IF($B753="","",IFERROR(INDEX(Estimasi!$I$2:$I$1000,MATCH($B753,Estimasi!$H$2:$H$1000,0)),""))</f>
        <v/>
      </c>
      <c r="D753" s="32" t="str">
        <f t="array" ref="D753">IF($C753="","",IFERROR(INDEX(Estimasi!$M$2:$M$1000,MATCH($C753,Estimasi!$L$2:$L$1000,0)),""))</f>
        <v/>
      </c>
      <c r="E753" s="32"/>
      <c r="F753" s="32" t="str">
        <f t="shared" si="4"/>
        <v/>
      </c>
      <c r="G753" s="11" t="str">
        <f t="shared" si="5"/>
        <v/>
      </c>
    </row>
    <row r="754" ht="15.75" customHeight="1">
      <c r="A754" s="52"/>
      <c r="B754" s="11"/>
      <c r="C754" s="11" t="str">
        <f t="array" ref="C754">IF($B754="","",IFERROR(INDEX(Estimasi!$I$2:$I$1000,MATCH($B754,Estimasi!$H$2:$H$1000,0)),""))</f>
        <v/>
      </c>
      <c r="D754" s="32" t="str">
        <f t="array" ref="D754">IF($C754="","",IFERROR(INDEX(Estimasi!$M$2:$M$1000,MATCH($C754,Estimasi!$L$2:$L$1000,0)),""))</f>
        <v/>
      </c>
      <c r="E754" s="32"/>
      <c r="F754" s="32" t="str">
        <f t="shared" si="4"/>
        <v/>
      </c>
      <c r="G754" s="11" t="str">
        <f t="shared" si="5"/>
        <v/>
      </c>
    </row>
    <row r="755" ht="15.75" customHeight="1">
      <c r="A755" s="52"/>
      <c r="B755" s="11"/>
      <c r="C755" s="11" t="str">
        <f t="array" ref="C755">IF($B755="","",IFERROR(INDEX(Estimasi!$I$2:$I$1000,MATCH($B755,Estimasi!$H$2:$H$1000,0)),""))</f>
        <v/>
      </c>
      <c r="D755" s="32" t="str">
        <f t="array" ref="D755">IF($C755="","",IFERROR(INDEX(Estimasi!$M$2:$M$1000,MATCH($C755,Estimasi!$L$2:$L$1000,0)),""))</f>
        <v/>
      </c>
      <c r="E755" s="32"/>
      <c r="F755" s="32" t="str">
        <f t="shared" si="4"/>
        <v/>
      </c>
      <c r="G755" s="11" t="str">
        <f t="shared" si="5"/>
        <v/>
      </c>
    </row>
    <row r="756" ht="15.75" customHeight="1">
      <c r="A756" s="52"/>
      <c r="B756" s="11"/>
      <c r="C756" s="11" t="str">
        <f t="array" ref="C756">IF($B756="","",IFERROR(INDEX(Estimasi!$I$2:$I$1000,MATCH($B756,Estimasi!$H$2:$H$1000,0)),""))</f>
        <v/>
      </c>
      <c r="D756" s="32" t="str">
        <f t="array" ref="D756">IF($C756="","",IFERROR(INDEX(Estimasi!$M$2:$M$1000,MATCH($C756,Estimasi!$L$2:$L$1000,0)),""))</f>
        <v/>
      </c>
      <c r="E756" s="32"/>
      <c r="F756" s="32" t="str">
        <f t="shared" si="4"/>
        <v/>
      </c>
      <c r="G756" s="11" t="str">
        <f t="shared" si="5"/>
        <v/>
      </c>
    </row>
    <row r="757" ht="15.75" customHeight="1">
      <c r="A757" s="52"/>
      <c r="B757" s="11"/>
      <c r="C757" s="11" t="str">
        <f t="array" ref="C757">IF($B757="","",IFERROR(INDEX(Estimasi!$I$2:$I$1000,MATCH($B757,Estimasi!$H$2:$H$1000,0)),""))</f>
        <v/>
      </c>
      <c r="D757" s="32" t="str">
        <f t="array" ref="D757">IF($C757="","",IFERROR(INDEX(Estimasi!$M$2:$M$1000,MATCH($C757,Estimasi!$L$2:$L$1000,0)),""))</f>
        <v/>
      </c>
      <c r="E757" s="32"/>
      <c r="F757" s="32" t="str">
        <f t="shared" si="4"/>
        <v/>
      </c>
      <c r="G757" s="11" t="str">
        <f t="shared" si="5"/>
        <v/>
      </c>
    </row>
    <row r="758" ht="15.75" customHeight="1">
      <c r="A758" s="52"/>
      <c r="B758" s="11"/>
      <c r="C758" s="11" t="str">
        <f t="array" ref="C758">IF($B758="","",IFERROR(INDEX(Estimasi!$I$2:$I$1000,MATCH($B758,Estimasi!$H$2:$H$1000,0)),""))</f>
        <v/>
      </c>
      <c r="D758" s="32" t="str">
        <f t="array" ref="D758">IF($C758="","",IFERROR(INDEX(Estimasi!$M$2:$M$1000,MATCH($C758,Estimasi!$L$2:$L$1000,0)),""))</f>
        <v/>
      </c>
      <c r="E758" s="32"/>
      <c r="F758" s="32" t="str">
        <f t="shared" si="4"/>
        <v/>
      </c>
      <c r="G758" s="11" t="str">
        <f t="shared" si="5"/>
        <v/>
      </c>
    </row>
    <row r="759" ht="15.75" customHeight="1">
      <c r="A759" s="52"/>
      <c r="B759" s="11"/>
      <c r="C759" s="11" t="str">
        <f t="array" ref="C759">IF($B759="","",IFERROR(INDEX(Estimasi!$I$2:$I$1000,MATCH($B759,Estimasi!$H$2:$H$1000,0)),""))</f>
        <v/>
      </c>
      <c r="D759" s="32" t="str">
        <f t="array" ref="D759">IF($C759="","",IFERROR(INDEX(Estimasi!$M$2:$M$1000,MATCH($C759,Estimasi!$L$2:$L$1000,0)),""))</f>
        <v/>
      </c>
      <c r="E759" s="32"/>
      <c r="F759" s="32" t="str">
        <f t="shared" si="4"/>
        <v/>
      </c>
      <c r="G759" s="11" t="str">
        <f t="shared" si="5"/>
        <v/>
      </c>
    </row>
    <row r="760" ht="15.75" customHeight="1">
      <c r="A760" s="52"/>
      <c r="B760" s="11"/>
      <c r="C760" s="11" t="str">
        <f t="array" ref="C760">IF($B760="","",IFERROR(INDEX(Estimasi!$I$2:$I$1000,MATCH($B760,Estimasi!$H$2:$H$1000,0)),""))</f>
        <v/>
      </c>
      <c r="D760" s="32" t="str">
        <f t="array" ref="D760">IF($C760="","",IFERROR(INDEX(Estimasi!$M$2:$M$1000,MATCH($C760,Estimasi!$L$2:$L$1000,0)),""))</f>
        <v/>
      </c>
      <c r="E760" s="32"/>
      <c r="F760" s="32" t="str">
        <f t="shared" si="4"/>
        <v/>
      </c>
      <c r="G760" s="11" t="str">
        <f t="shared" si="5"/>
        <v/>
      </c>
    </row>
    <row r="761" ht="15.75" customHeight="1">
      <c r="A761" s="52"/>
      <c r="B761" s="11"/>
      <c r="C761" s="11" t="str">
        <f t="array" ref="C761">IF($B761="","",IFERROR(INDEX(Estimasi!$I$2:$I$1000,MATCH($B761,Estimasi!$H$2:$H$1000,0)),""))</f>
        <v/>
      </c>
      <c r="D761" s="32" t="str">
        <f t="array" ref="D761">IF($C761="","",IFERROR(INDEX(Estimasi!$M$2:$M$1000,MATCH($C761,Estimasi!$L$2:$L$1000,0)),""))</f>
        <v/>
      </c>
      <c r="E761" s="32"/>
      <c r="F761" s="32" t="str">
        <f t="shared" si="4"/>
        <v/>
      </c>
      <c r="G761" s="11" t="str">
        <f t="shared" si="5"/>
        <v/>
      </c>
    </row>
    <row r="762" ht="15.75" customHeight="1">
      <c r="A762" s="52"/>
      <c r="B762" s="11"/>
      <c r="C762" s="11" t="str">
        <f t="array" ref="C762">IF($B762="","",IFERROR(INDEX(Estimasi!$I$2:$I$1000,MATCH($B762,Estimasi!$H$2:$H$1000,0)),""))</f>
        <v/>
      </c>
      <c r="D762" s="32" t="str">
        <f t="array" ref="D762">IF($C762="","",IFERROR(INDEX(Estimasi!$M$2:$M$1000,MATCH($C762,Estimasi!$L$2:$L$1000,0)),""))</f>
        <v/>
      </c>
      <c r="E762" s="32"/>
      <c r="F762" s="32" t="str">
        <f t="shared" si="4"/>
        <v/>
      </c>
      <c r="G762" s="11" t="str">
        <f t="shared" si="5"/>
        <v/>
      </c>
    </row>
    <row r="763" ht="15.75" customHeight="1">
      <c r="A763" s="52"/>
      <c r="B763" s="11"/>
      <c r="C763" s="11" t="str">
        <f t="array" ref="C763">IF($B763="","",IFERROR(INDEX(Estimasi!$I$2:$I$1000,MATCH($B763,Estimasi!$H$2:$H$1000,0)),""))</f>
        <v/>
      </c>
      <c r="D763" s="32" t="str">
        <f t="array" ref="D763">IF($C763="","",IFERROR(INDEX(Estimasi!$M$2:$M$1000,MATCH($C763,Estimasi!$L$2:$L$1000,0)),""))</f>
        <v/>
      </c>
      <c r="E763" s="32"/>
      <c r="F763" s="32" t="str">
        <f t="shared" si="4"/>
        <v/>
      </c>
      <c r="G763" s="11" t="str">
        <f t="shared" si="5"/>
        <v/>
      </c>
    </row>
    <row r="764" ht="15.75" customHeight="1">
      <c r="A764" s="52"/>
      <c r="B764" s="11"/>
      <c r="C764" s="11" t="str">
        <f t="array" ref="C764">IF($B764="","",IFERROR(INDEX(Estimasi!$I$2:$I$1000,MATCH($B764,Estimasi!$H$2:$H$1000,0)),""))</f>
        <v/>
      </c>
      <c r="D764" s="32" t="str">
        <f t="array" ref="D764">IF($C764="","",IFERROR(INDEX(Estimasi!$M$2:$M$1000,MATCH($C764,Estimasi!$L$2:$L$1000,0)),""))</f>
        <v/>
      </c>
      <c r="E764" s="32"/>
      <c r="F764" s="32" t="str">
        <f t="shared" si="4"/>
        <v/>
      </c>
      <c r="G764" s="11" t="str">
        <f t="shared" si="5"/>
        <v/>
      </c>
    </row>
    <row r="765" ht="15.75" customHeight="1">
      <c r="A765" s="52"/>
      <c r="B765" s="11"/>
      <c r="C765" s="11" t="str">
        <f t="array" ref="C765">IF($B765="","",IFERROR(INDEX(Estimasi!$I$2:$I$1000,MATCH($B765,Estimasi!$H$2:$H$1000,0)),""))</f>
        <v/>
      </c>
      <c r="D765" s="32" t="str">
        <f t="array" ref="D765">IF($C765="","",IFERROR(INDEX(Estimasi!$M$2:$M$1000,MATCH($C765,Estimasi!$L$2:$L$1000,0)),""))</f>
        <v/>
      </c>
      <c r="E765" s="32"/>
      <c r="F765" s="32" t="str">
        <f t="shared" si="4"/>
        <v/>
      </c>
      <c r="G765" s="11" t="str">
        <f t="shared" si="5"/>
        <v/>
      </c>
    </row>
    <row r="766" ht="15.75" customHeight="1">
      <c r="A766" s="52"/>
      <c r="B766" s="11"/>
      <c r="C766" s="11" t="str">
        <f t="array" ref="C766">IF($B766="","",IFERROR(INDEX(Estimasi!$I$2:$I$1000,MATCH($B766,Estimasi!$H$2:$H$1000,0)),""))</f>
        <v/>
      </c>
      <c r="D766" s="32" t="str">
        <f t="array" ref="D766">IF($C766="","",IFERROR(INDEX(Estimasi!$M$2:$M$1000,MATCH($C766,Estimasi!$L$2:$L$1000,0)),""))</f>
        <v/>
      </c>
      <c r="E766" s="32"/>
      <c r="F766" s="32" t="str">
        <f t="shared" si="4"/>
        <v/>
      </c>
      <c r="G766" s="11" t="str">
        <f t="shared" si="5"/>
        <v/>
      </c>
    </row>
    <row r="767" ht="15.75" customHeight="1">
      <c r="A767" s="52"/>
      <c r="B767" s="11"/>
      <c r="C767" s="11" t="str">
        <f t="array" ref="C767">IF($B767="","",IFERROR(INDEX(Estimasi!$I$2:$I$1000,MATCH($B767,Estimasi!$H$2:$H$1000,0)),""))</f>
        <v/>
      </c>
      <c r="D767" s="32" t="str">
        <f t="array" ref="D767">IF($C767="","",IFERROR(INDEX(Estimasi!$M$2:$M$1000,MATCH($C767,Estimasi!$L$2:$L$1000,0)),""))</f>
        <v/>
      </c>
      <c r="E767" s="32"/>
      <c r="F767" s="32" t="str">
        <f t="shared" si="4"/>
        <v/>
      </c>
      <c r="G767" s="11" t="str">
        <f t="shared" si="5"/>
        <v/>
      </c>
    </row>
    <row r="768" ht="15.75" customHeight="1">
      <c r="A768" s="52"/>
      <c r="B768" s="11"/>
      <c r="C768" s="11" t="str">
        <f t="array" ref="C768">IF($B768="","",IFERROR(INDEX(Estimasi!$I$2:$I$1000,MATCH($B768,Estimasi!$H$2:$H$1000,0)),""))</f>
        <v/>
      </c>
      <c r="D768" s="32" t="str">
        <f t="array" ref="D768">IF($C768="","",IFERROR(INDEX(Estimasi!$M$2:$M$1000,MATCH($C768,Estimasi!$L$2:$L$1000,0)),""))</f>
        <v/>
      </c>
      <c r="E768" s="32"/>
      <c r="F768" s="32" t="str">
        <f t="shared" si="4"/>
        <v/>
      </c>
      <c r="G768" s="11" t="str">
        <f t="shared" si="5"/>
        <v/>
      </c>
    </row>
    <row r="769" ht="15.75" customHeight="1">
      <c r="A769" s="52"/>
      <c r="B769" s="11"/>
      <c r="C769" s="11" t="str">
        <f t="array" ref="C769">IF($B769="","",IFERROR(INDEX(Estimasi!$I$2:$I$1000,MATCH($B769,Estimasi!$H$2:$H$1000,0)),""))</f>
        <v/>
      </c>
      <c r="D769" s="32" t="str">
        <f t="array" ref="D769">IF($C769="","",IFERROR(INDEX(Estimasi!$M$2:$M$1000,MATCH($C769,Estimasi!$L$2:$L$1000,0)),""))</f>
        <v/>
      </c>
      <c r="E769" s="32"/>
      <c r="F769" s="32" t="str">
        <f t="shared" si="4"/>
        <v/>
      </c>
      <c r="G769" s="11" t="str">
        <f t="shared" si="5"/>
        <v/>
      </c>
    </row>
    <row r="770" ht="15.75" customHeight="1">
      <c r="A770" s="52"/>
      <c r="B770" s="11"/>
      <c r="C770" s="11" t="str">
        <f t="array" ref="C770">IF($B770="","",IFERROR(INDEX(Estimasi!$I$2:$I$1000,MATCH($B770,Estimasi!$H$2:$H$1000,0)),""))</f>
        <v/>
      </c>
      <c r="D770" s="32" t="str">
        <f t="array" ref="D770">IF($C770="","",IFERROR(INDEX(Estimasi!$M$2:$M$1000,MATCH($C770,Estimasi!$L$2:$L$1000,0)),""))</f>
        <v/>
      </c>
      <c r="E770" s="32"/>
      <c r="F770" s="32" t="str">
        <f t="shared" si="4"/>
        <v/>
      </c>
      <c r="G770" s="11" t="str">
        <f t="shared" si="5"/>
        <v/>
      </c>
    </row>
    <row r="771" ht="15.75" customHeight="1">
      <c r="A771" s="52"/>
      <c r="B771" s="11"/>
      <c r="C771" s="11" t="str">
        <f t="array" ref="C771">IF($B771="","",IFERROR(INDEX(Estimasi!$I$2:$I$1000,MATCH($B771,Estimasi!$H$2:$H$1000,0)),""))</f>
        <v/>
      </c>
      <c r="D771" s="32" t="str">
        <f t="array" ref="D771">IF($C771="","",IFERROR(INDEX(Estimasi!$M$2:$M$1000,MATCH($C771,Estimasi!$L$2:$L$1000,0)),""))</f>
        <v/>
      </c>
      <c r="E771" s="32"/>
      <c r="F771" s="32" t="str">
        <f t="shared" si="4"/>
        <v/>
      </c>
      <c r="G771" s="11" t="str">
        <f t="shared" si="5"/>
        <v/>
      </c>
    </row>
    <row r="772" ht="15.75" customHeight="1">
      <c r="A772" s="52"/>
      <c r="B772" s="11"/>
      <c r="C772" s="11" t="str">
        <f t="array" ref="C772">IF($B772="","",IFERROR(INDEX(Estimasi!$I$2:$I$1000,MATCH($B772,Estimasi!$H$2:$H$1000,0)),""))</f>
        <v/>
      </c>
      <c r="D772" s="32" t="str">
        <f t="array" ref="D772">IF($C772="","",IFERROR(INDEX(Estimasi!$M$2:$M$1000,MATCH($C772,Estimasi!$L$2:$L$1000,0)),""))</f>
        <v/>
      </c>
      <c r="E772" s="32"/>
      <c r="F772" s="32" t="str">
        <f t="shared" si="4"/>
        <v/>
      </c>
      <c r="G772" s="11" t="str">
        <f t="shared" si="5"/>
        <v/>
      </c>
    </row>
    <row r="773" ht="15.75" customHeight="1">
      <c r="A773" s="52"/>
      <c r="B773" s="11"/>
      <c r="C773" s="11" t="str">
        <f t="array" ref="C773">IF($B773="","",IFERROR(INDEX(Estimasi!$I$2:$I$1000,MATCH($B773,Estimasi!$H$2:$H$1000,0)),""))</f>
        <v/>
      </c>
      <c r="D773" s="32" t="str">
        <f t="array" ref="D773">IF($C773="","",IFERROR(INDEX(Estimasi!$M$2:$M$1000,MATCH($C773,Estimasi!$L$2:$L$1000,0)),""))</f>
        <v/>
      </c>
      <c r="E773" s="32"/>
      <c r="F773" s="32" t="str">
        <f t="shared" si="4"/>
        <v/>
      </c>
      <c r="G773" s="11" t="str">
        <f t="shared" si="5"/>
        <v/>
      </c>
    </row>
    <row r="774" ht="15.75" customHeight="1">
      <c r="A774" s="52"/>
      <c r="B774" s="11"/>
      <c r="C774" s="11" t="str">
        <f t="array" ref="C774">IF($B774="","",IFERROR(INDEX(Estimasi!$I$2:$I$1000,MATCH($B774,Estimasi!$H$2:$H$1000,0)),""))</f>
        <v/>
      </c>
      <c r="D774" s="32" t="str">
        <f t="array" ref="D774">IF($C774="","",IFERROR(INDEX(Estimasi!$M$2:$M$1000,MATCH($C774,Estimasi!$L$2:$L$1000,0)),""))</f>
        <v/>
      </c>
      <c r="E774" s="32"/>
      <c r="F774" s="32" t="str">
        <f t="shared" si="4"/>
        <v/>
      </c>
      <c r="G774" s="11" t="str">
        <f t="shared" si="5"/>
        <v/>
      </c>
    </row>
    <row r="775" ht="15.75" customHeight="1">
      <c r="A775" s="52"/>
      <c r="B775" s="11"/>
      <c r="C775" s="11" t="str">
        <f t="array" ref="C775">IF($B775="","",IFERROR(INDEX(Estimasi!$I$2:$I$1000,MATCH($B775,Estimasi!$H$2:$H$1000,0)),""))</f>
        <v/>
      </c>
      <c r="D775" s="32" t="str">
        <f t="array" ref="D775">IF($C775="","",IFERROR(INDEX(Estimasi!$M$2:$M$1000,MATCH($C775,Estimasi!$L$2:$L$1000,0)),""))</f>
        <v/>
      </c>
      <c r="E775" s="32"/>
      <c r="F775" s="32" t="str">
        <f t="shared" si="4"/>
        <v/>
      </c>
      <c r="G775" s="11" t="str">
        <f t="shared" si="5"/>
        <v/>
      </c>
    </row>
    <row r="776" ht="15.75" customHeight="1">
      <c r="A776" s="52"/>
      <c r="B776" s="11"/>
      <c r="C776" s="11" t="str">
        <f t="array" ref="C776">IF($B776="","",IFERROR(INDEX(Estimasi!$I$2:$I$1000,MATCH($B776,Estimasi!$H$2:$H$1000,0)),""))</f>
        <v/>
      </c>
      <c r="D776" s="32" t="str">
        <f t="array" ref="D776">IF($C776="","",IFERROR(INDEX(Estimasi!$M$2:$M$1000,MATCH($C776,Estimasi!$L$2:$L$1000,0)),""))</f>
        <v/>
      </c>
      <c r="E776" s="32"/>
      <c r="F776" s="32" t="str">
        <f t="shared" si="4"/>
        <v/>
      </c>
      <c r="G776" s="11" t="str">
        <f t="shared" si="5"/>
        <v/>
      </c>
    </row>
    <row r="777" ht="15.75" customHeight="1">
      <c r="A777" s="52"/>
      <c r="B777" s="11"/>
      <c r="C777" s="11" t="str">
        <f t="array" ref="C777">IF($B777="","",IFERROR(INDEX(Estimasi!$I$2:$I$1000,MATCH($B777,Estimasi!$H$2:$H$1000,0)),""))</f>
        <v/>
      </c>
      <c r="D777" s="32" t="str">
        <f t="array" ref="D777">IF($C777="","",IFERROR(INDEX(Estimasi!$M$2:$M$1000,MATCH($C777,Estimasi!$L$2:$L$1000,0)),""))</f>
        <v/>
      </c>
      <c r="E777" s="32"/>
      <c r="F777" s="32" t="str">
        <f t="shared" si="4"/>
        <v/>
      </c>
      <c r="G777" s="11" t="str">
        <f t="shared" si="5"/>
        <v/>
      </c>
    </row>
    <row r="778" ht="15.75" customHeight="1">
      <c r="A778" s="52"/>
      <c r="B778" s="11"/>
      <c r="C778" s="11" t="str">
        <f t="array" ref="C778">IF($B778="","",IFERROR(INDEX(Estimasi!$I$2:$I$1000,MATCH($B778,Estimasi!$H$2:$H$1000,0)),""))</f>
        <v/>
      </c>
      <c r="D778" s="32" t="str">
        <f t="array" ref="D778">IF($C778="","",IFERROR(INDEX(Estimasi!$M$2:$M$1000,MATCH($C778,Estimasi!$L$2:$L$1000,0)),""))</f>
        <v/>
      </c>
      <c r="E778" s="32"/>
      <c r="F778" s="32" t="str">
        <f t="shared" si="4"/>
        <v/>
      </c>
      <c r="G778" s="11" t="str">
        <f t="shared" si="5"/>
        <v/>
      </c>
    </row>
    <row r="779" ht="15.75" customHeight="1">
      <c r="A779" s="52"/>
      <c r="B779" s="11"/>
      <c r="C779" s="11" t="str">
        <f t="array" ref="C779">IF($B779="","",IFERROR(INDEX(Estimasi!$I$2:$I$1000,MATCH($B779,Estimasi!$H$2:$H$1000,0)),""))</f>
        <v/>
      </c>
      <c r="D779" s="32" t="str">
        <f t="array" ref="D779">IF($C779="","",IFERROR(INDEX(Estimasi!$M$2:$M$1000,MATCH($C779,Estimasi!$L$2:$L$1000,0)),""))</f>
        <v/>
      </c>
      <c r="E779" s="32"/>
      <c r="F779" s="32" t="str">
        <f t="shared" si="4"/>
        <v/>
      </c>
      <c r="G779" s="11" t="str">
        <f t="shared" si="5"/>
        <v/>
      </c>
    </row>
    <row r="780" ht="15.75" customHeight="1">
      <c r="A780" s="52"/>
      <c r="B780" s="11"/>
      <c r="C780" s="11" t="str">
        <f t="array" ref="C780">IF($B780="","",IFERROR(INDEX(Estimasi!$I$2:$I$1000,MATCH($B780,Estimasi!$H$2:$H$1000,0)),""))</f>
        <v/>
      </c>
      <c r="D780" s="32" t="str">
        <f t="array" ref="D780">IF($C780="","",IFERROR(INDEX(Estimasi!$M$2:$M$1000,MATCH($C780,Estimasi!$L$2:$L$1000,0)),""))</f>
        <v/>
      </c>
      <c r="E780" s="32"/>
      <c r="F780" s="32" t="str">
        <f t="shared" si="4"/>
        <v/>
      </c>
      <c r="G780" s="11" t="str">
        <f t="shared" si="5"/>
        <v/>
      </c>
    </row>
    <row r="781" ht="15.75" customHeight="1">
      <c r="A781" s="52"/>
      <c r="B781" s="11"/>
      <c r="C781" s="11" t="str">
        <f t="array" ref="C781">IF($B781="","",IFERROR(INDEX(Estimasi!$I$2:$I$1000,MATCH($B781,Estimasi!$H$2:$H$1000,0)),""))</f>
        <v/>
      </c>
      <c r="D781" s="32" t="str">
        <f t="array" ref="D781">IF($C781="","",IFERROR(INDEX(Estimasi!$M$2:$M$1000,MATCH($C781,Estimasi!$L$2:$L$1000,0)),""))</f>
        <v/>
      </c>
      <c r="E781" s="32"/>
      <c r="F781" s="32" t="str">
        <f t="shared" si="4"/>
        <v/>
      </c>
      <c r="G781" s="11" t="str">
        <f t="shared" si="5"/>
        <v/>
      </c>
    </row>
    <row r="782" ht="15.75" customHeight="1">
      <c r="A782" s="52"/>
      <c r="B782" s="11"/>
      <c r="C782" s="11" t="str">
        <f t="array" ref="C782">IF($B782="","",IFERROR(INDEX(Estimasi!$I$2:$I$1000,MATCH($B782,Estimasi!$H$2:$H$1000,0)),""))</f>
        <v/>
      </c>
      <c r="D782" s="32" t="str">
        <f t="array" ref="D782">IF($C782="","",IFERROR(INDEX(Estimasi!$M$2:$M$1000,MATCH($C782,Estimasi!$L$2:$L$1000,0)),""))</f>
        <v/>
      </c>
      <c r="E782" s="32"/>
      <c r="F782" s="32" t="str">
        <f t="shared" si="4"/>
        <v/>
      </c>
      <c r="G782" s="11" t="str">
        <f t="shared" si="5"/>
        <v/>
      </c>
    </row>
    <row r="783" ht="15.75" customHeight="1">
      <c r="A783" s="52"/>
      <c r="B783" s="11"/>
      <c r="C783" s="11" t="str">
        <f t="array" ref="C783">IF($B783="","",IFERROR(INDEX(Estimasi!$I$2:$I$1000,MATCH($B783,Estimasi!$H$2:$H$1000,0)),""))</f>
        <v/>
      </c>
      <c r="D783" s="32" t="str">
        <f t="array" ref="D783">IF($C783="","",IFERROR(INDEX(Estimasi!$M$2:$M$1000,MATCH($C783,Estimasi!$L$2:$L$1000,0)),""))</f>
        <v/>
      </c>
      <c r="E783" s="32"/>
      <c r="F783" s="32" t="str">
        <f t="shared" si="4"/>
        <v/>
      </c>
      <c r="G783" s="11" t="str">
        <f t="shared" si="5"/>
        <v/>
      </c>
    </row>
    <row r="784" ht="15.75" customHeight="1">
      <c r="A784" s="52"/>
      <c r="B784" s="11"/>
      <c r="C784" s="11" t="str">
        <f t="array" ref="C784">IF($B784="","",IFERROR(INDEX(Estimasi!$I$2:$I$1000,MATCH($B784,Estimasi!$H$2:$H$1000,0)),""))</f>
        <v/>
      </c>
      <c r="D784" s="32" t="str">
        <f t="array" ref="D784">IF($C784="","",IFERROR(INDEX(Estimasi!$M$2:$M$1000,MATCH($C784,Estimasi!$L$2:$L$1000,0)),""))</f>
        <v/>
      </c>
      <c r="E784" s="32"/>
      <c r="F784" s="32" t="str">
        <f t="shared" si="4"/>
        <v/>
      </c>
      <c r="G784" s="11" t="str">
        <f t="shared" si="5"/>
        <v/>
      </c>
    </row>
    <row r="785" ht="15.75" customHeight="1">
      <c r="A785" s="52"/>
      <c r="B785" s="11"/>
      <c r="C785" s="11" t="str">
        <f t="array" ref="C785">IF($B785="","",IFERROR(INDEX(Estimasi!$I$2:$I$1000,MATCH($B785,Estimasi!$H$2:$H$1000,0)),""))</f>
        <v/>
      </c>
      <c r="D785" s="32" t="str">
        <f t="array" ref="D785">IF($C785="","",IFERROR(INDEX(Estimasi!$M$2:$M$1000,MATCH($C785,Estimasi!$L$2:$L$1000,0)),""))</f>
        <v/>
      </c>
      <c r="E785" s="32"/>
      <c r="F785" s="32" t="str">
        <f t="shared" si="4"/>
        <v/>
      </c>
      <c r="G785" s="11" t="str">
        <f t="shared" si="5"/>
        <v/>
      </c>
    </row>
    <row r="786" ht="15.75" customHeight="1">
      <c r="A786" s="52"/>
      <c r="B786" s="11"/>
      <c r="C786" s="11" t="str">
        <f t="array" ref="C786">IF($B786="","",IFERROR(INDEX(Estimasi!$I$2:$I$1000,MATCH($B786,Estimasi!$H$2:$H$1000,0)),""))</f>
        <v/>
      </c>
      <c r="D786" s="32" t="str">
        <f t="array" ref="D786">IF($C786="","",IFERROR(INDEX(Estimasi!$M$2:$M$1000,MATCH($C786,Estimasi!$L$2:$L$1000,0)),""))</f>
        <v/>
      </c>
      <c r="E786" s="32"/>
      <c r="F786" s="32" t="str">
        <f t="shared" si="4"/>
        <v/>
      </c>
      <c r="G786" s="11" t="str">
        <f t="shared" si="5"/>
        <v/>
      </c>
    </row>
    <row r="787" ht="15.75" customHeight="1">
      <c r="A787" s="52"/>
      <c r="B787" s="11"/>
      <c r="C787" s="11" t="str">
        <f t="array" ref="C787">IF($B787="","",IFERROR(INDEX(Estimasi!$I$2:$I$1000,MATCH($B787,Estimasi!$H$2:$H$1000,0)),""))</f>
        <v/>
      </c>
      <c r="D787" s="32" t="str">
        <f t="array" ref="D787">IF($C787="","",IFERROR(INDEX(Estimasi!$M$2:$M$1000,MATCH($C787,Estimasi!$L$2:$L$1000,0)),""))</f>
        <v/>
      </c>
      <c r="E787" s="32"/>
      <c r="F787" s="32" t="str">
        <f t="shared" si="4"/>
        <v/>
      </c>
      <c r="G787" s="11" t="str">
        <f t="shared" si="5"/>
        <v/>
      </c>
    </row>
    <row r="788" ht="15.75" customHeight="1">
      <c r="A788" s="52"/>
      <c r="B788" s="11"/>
      <c r="C788" s="11" t="str">
        <f t="array" ref="C788">IF($B788="","",IFERROR(INDEX(Estimasi!$I$2:$I$1000,MATCH($B788,Estimasi!$H$2:$H$1000,0)),""))</f>
        <v/>
      </c>
      <c r="D788" s="32" t="str">
        <f t="array" ref="D788">IF($C788="","",IFERROR(INDEX(Estimasi!$M$2:$M$1000,MATCH($C788,Estimasi!$L$2:$L$1000,0)),""))</f>
        <v/>
      </c>
      <c r="E788" s="32"/>
      <c r="F788" s="32" t="str">
        <f t="shared" si="4"/>
        <v/>
      </c>
      <c r="G788" s="11" t="str">
        <f t="shared" si="5"/>
        <v/>
      </c>
    </row>
    <row r="789" ht="15.75" customHeight="1">
      <c r="A789" s="52"/>
      <c r="B789" s="11"/>
      <c r="C789" s="11" t="str">
        <f t="array" ref="C789">IF($B789="","",IFERROR(INDEX(Estimasi!$I$2:$I$1000,MATCH($B789,Estimasi!$H$2:$H$1000,0)),""))</f>
        <v/>
      </c>
      <c r="D789" s="32" t="str">
        <f t="array" ref="D789">IF($C789="","",IFERROR(INDEX(Estimasi!$M$2:$M$1000,MATCH($C789,Estimasi!$L$2:$L$1000,0)),""))</f>
        <v/>
      </c>
      <c r="E789" s="32"/>
      <c r="F789" s="32" t="str">
        <f t="shared" si="4"/>
        <v/>
      </c>
      <c r="G789" s="11" t="str">
        <f t="shared" si="5"/>
        <v/>
      </c>
    </row>
    <row r="790" ht="15.75" customHeight="1">
      <c r="A790" s="52"/>
      <c r="B790" s="11"/>
      <c r="C790" s="11" t="str">
        <f t="array" ref="C790">IF($B790="","",IFERROR(INDEX(Estimasi!$I$2:$I$1000,MATCH($B790,Estimasi!$H$2:$H$1000,0)),""))</f>
        <v/>
      </c>
      <c r="D790" s="32" t="str">
        <f t="array" ref="D790">IF($C790="","",IFERROR(INDEX(Estimasi!$M$2:$M$1000,MATCH($C790,Estimasi!$L$2:$L$1000,0)),""))</f>
        <v/>
      </c>
      <c r="E790" s="32"/>
      <c r="F790" s="32" t="str">
        <f t="shared" si="4"/>
        <v/>
      </c>
      <c r="G790" s="11" t="str">
        <f t="shared" si="5"/>
        <v/>
      </c>
    </row>
    <row r="791" ht="15.75" customHeight="1">
      <c r="A791" s="52"/>
      <c r="B791" s="11"/>
      <c r="C791" s="11" t="str">
        <f t="array" ref="C791">IF($B791="","",IFERROR(INDEX(Estimasi!$I$2:$I$1000,MATCH($B791,Estimasi!$H$2:$H$1000,0)),""))</f>
        <v/>
      </c>
      <c r="D791" s="32" t="str">
        <f t="array" ref="D791">IF($C791="","",IFERROR(INDEX(Estimasi!$M$2:$M$1000,MATCH($C791,Estimasi!$L$2:$L$1000,0)),""))</f>
        <v/>
      </c>
      <c r="E791" s="32"/>
      <c r="F791" s="32" t="str">
        <f t="shared" si="4"/>
        <v/>
      </c>
      <c r="G791" s="11" t="str">
        <f t="shared" si="5"/>
        <v/>
      </c>
    </row>
    <row r="792" ht="15.75" customHeight="1">
      <c r="A792" s="52"/>
      <c r="B792" s="11"/>
      <c r="C792" s="11" t="str">
        <f t="array" ref="C792">IF($B792="","",IFERROR(INDEX(Estimasi!$I$2:$I$1000,MATCH($B792,Estimasi!$H$2:$H$1000,0)),""))</f>
        <v/>
      </c>
      <c r="D792" s="32" t="str">
        <f t="array" ref="D792">IF($C792="","",IFERROR(INDEX(Estimasi!$M$2:$M$1000,MATCH($C792,Estimasi!$L$2:$L$1000,0)),""))</f>
        <v/>
      </c>
      <c r="E792" s="32"/>
      <c r="F792" s="32" t="str">
        <f t="shared" si="4"/>
        <v/>
      </c>
      <c r="G792" s="11" t="str">
        <f t="shared" si="5"/>
        <v/>
      </c>
    </row>
    <row r="793" ht="15.75" customHeight="1">
      <c r="A793" s="52"/>
      <c r="B793" s="11"/>
      <c r="C793" s="11" t="str">
        <f t="array" ref="C793">IF($B793="","",IFERROR(INDEX(Estimasi!$I$2:$I$1000,MATCH($B793,Estimasi!$H$2:$H$1000,0)),""))</f>
        <v/>
      </c>
      <c r="D793" s="32" t="str">
        <f t="array" ref="D793">IF($C793="","",IFERROR(INDEX(Estimasi!$M$2:$M$1000,MATCH($C793,Estimasi!$L$2:$L$1000,0)),""))</f>
        <v/>
      </c>
      <c r="E793" s="32"/>
      <c r="F793" s="32" t="str">
        <f t="shared" si="4"/>
        <v/>
      </c>
      <c r="G793" s="11" t="str">
        <f t="shared" si="5"/>
        <v/>
      </c>
    </row>
    <row r="794" ht="15.75" customHeight="1">
      <c r="A794" s="52"/>
      <c r="B794" s="11"/>
      <c r="C794" s="11" t="str">
        <f t="array" ref="C794">IF($B794="","",IFERROR(INDEX(Estimasi!$I$2:$I$1000,MATCH($B794,Estimasi!$H$2:$H$1000,0)),""))</f>
        <v/>
      </c>
      <c r="D794" s="32" t="str">
        <f t="array" ref="D794">IF($C794="","",IFERROR(INDEX(Estimasi!$M$2:$M$1000,MATCH($C794,Estimasi!$L$2:$L$1000,0)),""))</f>
        <v/>
      </c>
      <c r="E794" s="32"/>
      <c r="F794" s="32" t="str">
        <f t="shared" si="4"/>
        <v/>
      </c>
      <c r="G794" s="11" t="str">
        <f t="shared" si="5"/>
        <v/>
      </c>
    </row>
    <row r="795" ht="15.75" customHeight="1">
      <c r="A795" s="52"/>
      <c r="B795" s="11"/>
      <c r="C795" s="11" t="str">
        <f t="array" ref="C795">IF($B795="","",IFERROR(INDEX(Estimasi!$I$2:$I$1000,MATCH($B795,Estimasi!$H$2:$H$1000,0)),""))</f>
        <v/>
      </c>
      <c r="D795" s="32" t="str">
        <f t="array" ref="D795">IF($C795="","",IFERROR(INDEX(Estimasi!$M$2:$M$1000,MATCH($C795,Estimasi!$L$2:$L$1000,0)),""))</f>
        <v/>
      </c>
      <c r="E795" s="32"/>
      <c r="F795" s="32" t="str">
        <f t="shared" si="4"/>
        <v/>
      </c>
      <c r="G795" s="11" t="str">
        <f t="shared" si="5"/>
        <v/>
      </c>
    </row>
    <row r="796" ht="15.75" customHeight="1">
      <c r="A796" s="52"/>
      <c r="B796" s="11"/>
      <c r="C796" s="11" t="str">
        <f t="array" ref="C796">IF($B796="","",IFERROR(INDEX(Estimasi!$I$2:$I$1000,MATCH($B796,Estimasi!$H$2:$H$1000,0)),""))</f>
        <v/>
      </c>
      <c r="D796" s="32" t="str">
        <f t="array" ref="D796">IF($C796="","",IFERROR(INDEX(Estimasi!$M$2:$M$1000,MATCH($C796,Estimasi!$L$2:$L$1000,0)),""))</f>
        <v/>
      </c>
      <c r="E796" s="32"/>
      <c r="F796" s="32" t="str">
        <f t="shared" si="4"/>
        <v/>
      </c>
      <c r="G796" s="11" t="str">
        <f t="shared" si="5"/>
        <v/>
      </c>
    </row>
    <row r="797" ht="15.75" customHeight="1">
      <c r="A797" s="52"/>
      <c r="B797" s="11"/>
      <c r="C797" s="11" t="str">
        <f t="array" ref="C797">IF($B797="","",IFERROR(INDEX(Estimasi!$I$2:$I$1000,MATCH($B797,Estimasi!$H$2:$H$1000,0)),""))</f>
        <v/>
      </c>
      <c r="D797" s="32" t="str">
        <f t="array" ref="D797">IF($C797="","",IFERROR(INDEX(Estimasi!$M$2:$M$1000,MATCH($C797,Estimasi!$L$2:$L$1000,0)),""))</f>
        <v/>
      </c>
      <c r="E797" s="32"/>
      <c r="F797" s="32" t="str">
        <f t="shared" si="4"/>
        <v/>
      </c>
      <c r="G797" s="11" t="str">
        <f t="shared" si="5"/>
        <v/>
      </c>
    </row>
    <row r="798" ht="15.75" customHeight="1">
      <c r="A798" s="52"/>
      <c r="B798" s="11"/>
      <c r="C798" s="11" t="str">
        <f t="array" ref="C798">IF($B798="","",IFERROR(INDEX(Estimasi!$I$2:$I$1000,MATCH($B798,Estimasi!$H$2:$H$1000,0)),""))</f>
        <v/>
      </c>
      <c r="D798" s="32" t="str">
        <f t="array" ref="D798">IF($C798="","",IFERROR(INDEX(Estimasi!$M$2:$M$1000,MATCH($C798,Estimasi!$L$2:$L$1000,0)),""))</f>
        <v/>
      </c>
      <c r="E798" s="32"/>
      <c r="F798" s="32" t="str">
        <f t="shared" si="4"/>
        <v/>
      </c>
      <c r="G798" s="11" t="str">
        <f t="shared" si="5"/>
        <v/>
      </c>
    </row>
    <row r="799" ht="15.75" customHeight="1">
      <c r="A799" s="52"/>
      <c r="B799" s="11"/>
      <c r="C799" s="11" t="str">
        <f t="array" ref="C799">IF($B799="","",IFERROR(INDEX(Estimasi!$I$2:$I$1000,MATCH($B799,Estimasi!$H$2:$H$1000,0)),""))</f>
        <v/>
      </c>
      <c r="D799" s="32" t="str">
        <f t="array" ref="D799">IF($C799="","",IFERROR(INDEX(Estimasi!$M$2:$M$1000,MATCH($C799,Estimasi!$L$2:$L$1000,0)),""))</f>
        <v/>
      </c>
      <c r="E799" s="32"/>
      <c r="F799" s="32" t="str">
        <f t="shared" si="4"/>
        <v/>
      </c>
      <c r="G799" s="11" t="str">
        <f t="shared" si="5"/>
        <v/>
      </c>
    </row>
    <row r="800" ht="15.75" customHeight="1">
      <c r="A800" s="52"/>
      <c r="B800" s="11"/>
      <c r="C800" s="11" t="str">
        <f t="array" ref="C800">IF($B800="","",IFERROR(INDEX(Estimasi!$I$2:$I$1000,MATCH($B800,Estimasi!$H$2:$H$1000,0)),""))</f>
        <v/>
      </c>
      <c r="D800" s="32" t="str">
        <f t="array" ref="D800">IF($C800="","",IFERROR(INDEX(Estimasi!$M$2:$M$1000,MATCH($C800,Estimasi!$L$2:$L$1000,0)),""))</f>
        <v/>
      </c>
      <c r="E800" s="32"/>
      <c r="F800" s="32" t="str">
        <f t="shared" si="4"/>
        <v/>
      </c>
      <c r="G800" s="11" t="str">
        <f t="shared" si="5"/>
        <v/>
      </c>
    </row>
    <row r="801" ht="15.75" customHeight="1">
      <c r="A801" s="52"/>
      <c r="B801" s="11"/>
      <c r="C801" s="11" t="str">
        <f t="array" ref="C801">IF($B801="","",IFERROR(INDEX(Estimasi!$I$2:$I$1000,MATCH($B801,Estimasi!$H$2:$H$1000,0)),""))</f>
        <v/>
      </c>
      <c r="D801" s="32" t="str">
        <f t="array" ref="D801">IF($C801="","",IFERROR(INDEX(Estimasi!$M$2:$M$1000,MATCH($C801,Estimasi!$L$2:$L$1000,0)),""))</f>
        <v/>
      </c>
      <c r="E801" s="32"/>
      <c r="F801" s="32" t="str">
        <f t="shared" si="4"/>
        <v/>
      </c>
      <c r="G801" s="11" t="str">
        <f t="shared" si="5"/>
        <v/>
      </c>
    </row>
    <row r="802" ht="15.75" customHeight="1">
      <c r="A802" s="52"/>
      <c r="B802" s="11"/>
      <c r="C802" s="11" t="str">
        <f t="array" ref="C802">IF($B802="","",IFERROR(INDEX(Estimasi!$I$2:$I$1000,MATCH($B802,Estimasi!$H$2:$H$1000,0)),""))</f>
        <v/>
      </c>
      <c r="D802" s="32" t="str">
        <f t="array" ref="D802">IF($C802="","",IFERROR(INDEX(Estimasi!$M$2:$M$1000,MATCH($C802,Estimasi!$L$2:$L$1000,0)),""))</f>
        <v/>
      </c>
      <c r="E802" s="32"/>
      <c r="F802" s="32" t="str">
        <f t="shared" si="4"/>
        <v/>
      </c>
      <c r="G802" s="11" t="str">
        <f t="shared" si="5"/>
        <v/>
      </c>
    </row>
    <row r="803" ht="15.75" customHeight="1">
      <c r="A803" s="52"/>
      <c r="B803" s="11"/>
      <c r="C803" s="11" t="str">
        <f t="array" ref="C803">IF($B803="","",IFERROR(INDEX(Estimasi!$I$2:$I$1000,MATCH($B803,Estimasi!$H$2:$H$1000,0)),""))</f>
        <v/>
      </c>
      <c r="D803" s="32" t="str">
        <f t="array" ref="D803">IF($C803="","",IFERROR(INDEX(Estimasi!$M$2:$M$1000,MATCH($C803,Estimasi!$L$2:$L$1000,0)),""))</f>
        <v/>
      </c>
      <c r="E803" s="32"/>
      <c r="F803" s="32" t="str">
        <f t="shared" si="4"/>
        <v/>
      </c>
      <c r="G803" s="11" t="str">
        <f t="shared" si="5"/>
        <v/>
      </c>
    </row>
    <row r="804" ht="15.75" customHeight="1">
      <c r="A804" s="52"/>
      <c r="B804" s="11"/>
      <c r="C804" s="11" t="str">
        <f t="array" ref="C804">IF($B804="","",IFERROR(INDEX(Estimasi!$I$2:$I$1000,MATCH($B804,Estimasi!$H$2:$H$1000,0)),""))</f>
        <v/>
      </c>
      <c r="D804" s="32" t="str">
        <f t="array" ref="D804">IF($C804="","",IFERROR(INDEX(Estimasi!$M$2:$M$1000,MATCH($C804,Estimasi!$L$2:$L$1000,0)),""))</f>
        <v/>
      </c>
      <c r="E804" s="32"/>
      <c r="F804" s="32" t="str">
        <f t="shared" si="4"/>
        <v/>
      </c>
      <c r="G804" s="11" t="str">
        <f t="shared" si="5"/>
        <v/>
      </c>
    </row>
    <row r="805" ht="15.75" customHeight="1">
      <c r="A805" s="52"/>
      <c r="B805" s="11"/>
      <c r="C805" s="11" t="str">
        <f t="array" ref="C805">IF($B805="","",IFERROR(INDEX(Estimasi!$I$2:$I$1000,MATCH($B805,Estimasi!$H$2:$H$1000,0)),""))</f>
        <v/>
      </c>
      <c r="D805" s="32" t="str">
        <f t="array" ref="D805">IF($C805="","",IFERROR(INDEX(Estimasi!$M$2:$M$1000,MATCH($C805,Estimasi!$L$2:$L$1000,0)),""))</f>
        <v/>
      </c>
      <c r="E805" s="32"/>
      <c r="F805" s="32" t="str">
        <f t="shared" si="4"/>
        <v/>
      </c>
      <c r="G805" s="11" t="str">
        <f t="shared" si="5"/>
        <v/>
      </c>
    </row>
    <row r="806" ht="15.75" customHeight="1">
      <c r="A806" s="52"/>
      <c r="B806" s="11"/>
      <c r="C806" s="11" t="str">
        <f t="array" ref="C806">IF($B806="","",IFERROR(INDEX(Estimasi!$I$2:$I$1000,MATCH($B806,Estimasi!$H$2:$H$1000,0)),""))</f>
        <v/>
      </c>
      <c r="D806" s="32" t="str">
        <f t="array" ref="D806">IF($C806="","",IFERROR(INDEX(Estimasi!$M$2:$M$1000,MATCH($C806,Estimasi!$L$2:$L$1000,0)),""))</f>
        <v/>
      </c>
      <c r="E806" s="32"/>
      <c r="F806" s="32" t="str">
        <f t="shared" si="4"/>
        <v/>
      </c>
      <c r="G806" s="11" t="str">
        <f t="shared" si="5"/>
        <v/>
      </c>
    </row>
    <row r="807" ht="15.75" customHeight="1">
      <c r="A807" s="52"/>
      <c r="B807" s="11"/>
      <c r="C807" s="11" t="str">
        <f t="array" ref="C807">IF($B807="","",IFERROR(INDEX(Estimasi!$I$2:$I$1000,MATCH($B807,Estimasi!$H$2:$H$1000,0)),""))</f>
        <v/>
      </c>
      <c r="D807" s="32" t="str">
        <f t="array" ref="D807">IF($C807="","",IFERROR(INDEX(Estimasi!$M$2:$M$1000,MATCH($C807,Estimasi!$L$2:$L$1000,0)),""))</f>
        <v/>
      </c>
      <c r="E807" s="32"/>
      <c r="F807" s="32" t="str">
        <f t="shared" si="4"/>
        <v/>
      </c>
      <c r="G807" s="11" t="str">
        <f t="shared" si="5"/>
        <v/>
      </c>
    </row>
    <row r="808" ht="15.75" customHeight="1">
      <c r="A808" s="52"/>
      <c r="B808" s="11"/>
      <c r="C808" s="11" t="str">
        <f t="array" ref="C808">IF($B808="","",IFERROR(INDEX(Estimasi!$I$2:$I$1000,MATCH($B808,Estimasi!$H$2:$H$1000,0)),""))</f>
        <v/>
      </c>
      <c r="D808" s="32" t="str">
        <f t="array" ref="D808">IF($C808="","",IFERROR(INDEX(Estimasi!$M$2:$M$1000,MATCH($C808,Estimasi!$L$2:$L$1000,0)),""))</f>
        <v/>
      </c>
      <c r="E808" s="32"/>
      <c r="F808" s="32" t="str">
        <f t="shared" si="4"/>
        <v/>
      </c>
      <c r="G808" s="11" t="str">
        <f t="shared" si="5"/>
        <v/>
      </c>
    </row>
    <row r="809" ht="15.75" customHeight="1">
      <c r="A809" s="52"/>
      <c r="B809" s="11"/>
      <c r="C809" s="11" t="str">
        <f t="array" ref="C809">IF($B809="","",IFERROR(INDEX(Estimasi!$I$2:$I$1000,MATCH($B809,Estimasi!$H$2:$H$1000,0)),""))</f>
        <v/>
      </c>
      <c r="D809" s="32" t="str">
        <f t="array" ref="D809">IF($C809="","",IFERROR(INDEX(Estimasi!$M$2:$M$1000,MATCH($C809,Estimasi!$L$2:$L$1000,0)),""))</f>
        <v/>
      </c>
      <c r="E809" s="32"/>
      <c r="F809" s="32" t="str">
        <f t="shared" si="4"/>
        <v/>
      </c>
      <c r="G809" s="11" t="str">
        <f t="shared" si="5"/>
        <v/>
      </c>
    </row>
    <row r="810" ht="15.75" customHeight="1">
      <c r="A810" s="52"/>
      <c r="B810" s="11"/>
      <c r="C810" s="11" t="str">
        <f t="array" ref="C810">IF($B810="","",IFERROR(INDEX(Estimasi!$I$2:$I$1000,MATCH($B810,Estimasi!$H$2:$H$1000,0)),""))</f>
        <v/>
      </c>
      <c r="D810" s="32" t="str">
        <f t="array" ref="D810">IF($C810="","",IFERROR(INDEX(Estimasi!$M$2:$M$1000,MATCH($C810,Estimasi!$L$2:$L$1000,0)),""))</f>
        <v/>
      </c>
      <c r="E810" s="32"/>
      <c r="F810" s="32" t="str">
        <f t="shared" si="4"/>
        <v/>
      </c>
      <c r="G810" s="11" t="str">
        <f t="shared" si="5"/>
        <v/>
      </c>
    </row>
    <row r="811" ht="15.75" customHeight="1">
      <c r="A811" s="52"/>
      <c r="B811" s="11"/>
      <c r="C811" s="11" t="str">
        <f t="array" ref="C811">IF($B811="","",IFERROR(INDEX(Estimasi!$I$2:$I$1000,MATCH($B811,Estimasi!$H$2:$H$1000,0)),""))</f>
        <v/>
      </c>
      <c r="D811" s="32" t="str">
        <f t="array" ref="D811">IF($C811="","",IFERROR(INDEX(Estimasi!$M$2:$M$1000,MATCH($C811,Estimasi!$L$2:$L$1000,0)),""))</f>
        <v/>
      </c>
      <c r="E811" s="32"/>
      <c r="F811" s="32" t="str">
        <f t="shared" si="4"/>
        <v/>
      </c>
      <c r="G811" s="11" t="str">
        <f t="shared" si="5"/>
        <v/>
      </c>
    </row>
    <row r="812" ht="15.75" customHeight="1">
      <c r="A812" s="52"/>
      <c r="B812" s="11"/>
      <c r="C812" s="11" t="str">
        <f t="array" ref="C812">IF($B812="","",IFERROR(INDEX(Estimasi!$I$2:$I$1000,MATCH($B812,Estimasi!$H$2:$H$1000,0)),""))</f>
        <v/>
      </c>
      <c r="D812" s="32" t="str">
        <f t="array" ref="D812">IF($C812="","",IFERROR(INDEX(Estimasi!$M$2:$M$1000,MATCH($C812,Estimasi!$L$2:$L$1000,0)),""))</f>
        <v/>
      </c>
      <c r="E812" s="32"/>
      <c r="F812" s="32" t="str">
        <f t="shared" si="4"/>
        <v/>
      </c>
      <c r="G812" s="11" t="str">
        <f t="shared" si="5"/>
        <v/>
      </c>
    </row>
    <row r="813" ht="15.75" customHeight="1">
      <c r="A813" s="52"/>
      <c r="B813" s="11"/>
      <c r="C813" s="11" t="str">
        <f t="array" ref="C813">IF($B813="","",IFERROR(INDEX(Estimasi!$I$2:$I$1000,MATCH($B813,Estimasi!$H$2:$H$1000,0)),""))</f>
        <v/>
      </c>
      <c r="D813" s="32" t="str">
        <f t="array" ref="D813">IF($C813="","",IFERROR(INDEX(Estimasi!$M$2:$M$1000,MATCH($C813,Estimasi!$L$2:$L$1000,0)),""))</f>
        <v/>
      </c>
      <c r="E813" s="32"/>
      <c r="F813" s="32" t="str">
        <f t="shared" si="4"/>
        <v/>
      </c>
      <c r="G813" s="11" t="str">
        <f t="shared" si="5"/>
        <v/>
      </c>
    </row>
    <row r="814" ht="15.75" customHeight="1">
      <c r="A814" s="52"/>
      <c r="B814" s="11"/>
      <c r="C814" s="11" t="str">
        <f t="array" ref="C814">IF($B814="","",IFERROR(INDEX(Estimasi!$I$2:$I$1000,MATCH($B814,Estimasi!$H$2:$H$1000,0)),""))</f>
        <v/>
      </c>
      <c r="D814" s="32" t="str">
        <f t="array" ref="D814">IF($C814="","",IFERROR(INDEX(Estimasi!$M$2:$M$1000,MATCH($C814,Estimasi!$L$2:$L$1000,0)),""))</f>
        <v/>
      </c>
      <c r="E814" s="32"/>
      <c r="F814" s="32" t="str">
        <f t="shared" si="4"/>
        <v/>
      </c>
      <c r="G814" s="11" t="str">
        <f t="shared" si="5"/>
        <v/>
      </c>
    </row>
    <row r="815" ht="15.75" customHeight="1">
      <c r="A815" s="52"/>
      <c r="B815" s="11"/>
      <c r="C815" s="11" t="str">
        <f t="array" ref="C815">IF($B815="","",IFERROR(INDEX(Estimasi!$I$2:$I$1000,MATCH($B815,Estimasi!$H$2:$H$1000,0)),""))</f>
        <v/>
      </c>
      <c r="D815" s="32" t="str">
        <f t="array" ref="D815">IF($C815="","",IFERROR(INDEX(Estimasi!$M$2:$M$1000,MATCH($C815,Estimasi!$L$2:$L$1000,0)),""))</f>
        <v/>
      </c>
      <c r="E815" s="32"/>
      <c r="F815" s="32" t="str">
        <f t="shared" si="4"/>
        <v/>
      </c>
      <c r="G815" s="11" t="str">
        <f t="shared" si="5"/>
        <v/>
      </c>
    </row>
    <row r="816" ht="15.75" customHeight="1">
      <c r="A816" s="52"/>
      <c r="B816" s="11"/>
      <c r="C816" s="11" t="str">
        <f t="array" ref="C816">IF($B816="","",IFERROR(INDEX(Estimasi!$I$2:$I$1000,MATCH($B816,Estimasi!$H$2:$H$1000,0)),""))</f>
        <v/>
      </c>
      <c r="D816" s="32" t="str">
        <f t="array" ref="D816">IF($C816="","",IFERROR(INDEX(Estimasi!$M$2:$M$1000,MATCH($C816,Estimasi!$L$2:$L$1000,0)),""))</f>
        <v/>
      </c>
      <c r="E816" s="32"/>
      <c r="F816" s="32" t="str">
        <f t="shared" si="4"/>
        <v/>
      </c>
      <c r="G816" s="11" t="str">
        <f t="shared" si="5"/>
        <v/>
      </c>
    </row>
    <row r="817" ht="15.75" customHeight="1">
      <c r="A817" s="52"/>
      <c r="B817" s="11"/>
      <c r="C817" s="11" t="str">
        <f t="array" ref="C817">IF($B817="","",IFERROR(INDEX(Estimasi!$I$2:$I$1000,MATCH($B817,Estimasi!$H$2:$H$1000,0)),""))</f>
        <v/>
      </c>
      <c r="D817" s="32" t="str">
        <f t="array" ref="D817">IF($C817="","",IFERROR(INDEX(Estimasi!$M$2:$M$1000,MATCH($C817,Estimasi!$L$2:$L$1000,0)),""))</f>
        <v/>
      </c>
      <c r="E817" s="32"/>
      <c r="F817" s="32" t="str">
        <f t="shared" si="4"/>
        <v/>
      </c>
      <c r="G817" s="11" t="str">
        <f t="shared" si="5"/>
        <v/>
      </c>
    </row>
    <row r="818" ht="15.75" customHeight="1">
      <c r="A818" s="52"/>
      <c r="B818" s="11"/>
      <c r="C818" s="11" t="str">
        <f t="array" ref="C818">IF($B818="","",IFERROR(INDEX(Estimasi!$I$2:$I$1000,MATCH($B818,Estimasi!$H$2:$H$1000,0)),""))</f>
        <v/>
      </c>
      <c r="D818" s="32" t="str">
        <f t="array" ref="D818">IF($C818="","",IFERROR(INDEX(Estimasi!$M$2:$M$1000,MATCH($C818,Estimasi!$L$2:$L$1000,0)),""))</f>
        <v/>
      </c>
      <c r="E818" s="32"/>
      <c r="F818" s="32" t="str">
        <f t="shared" si="4"/>
        <v/>
      </c>
      <c r="G818" s="11" t="str">
        <f t="shared" si="5"/>
        <v/>
      </c>
    </row>
    <row r="819" ht="15.75" customHeight="1">
      <c r="A819" s="52"/>
      <c r="B819" s="11"/>
      <c r="C819" s="11" t="str">
        <f t="array" ref="C819">IF($B819="","",IFERROR(INDEX(Estimasi!$I$2:$I$1000,MATCH($B819,Estimasi!$H$2:$H$1000,0)),""))</f>
        <v/>
      </c>
      <c r="D819" s="32" t="str">
        <f t="array" ref="D819">IF($C819="","",IFERROR(INDEX(Estimasi!$M$2:$M$1000,MATCH($C819,Estimasi!$L$2:$L$1000,0)),""))</f>
        <v/>
      </c>
      <c r="E819" s="32"/>
      <c r="F819" s="32" t="str">
        <f t="shared" si="4"/>
        <v/>
      </c>
      <c r="G819" s="11" t="str">
        <f t="shared" si="5"/>
        <v/>
      </c>
    </row>
    <row r="820" ht="15.75" customHeight="1">
      <c r="A820" s="52"/>
      <c r="B820" s="11"/>
      <c r="C820" s="11" t="str">
        <f t="array" ref="C820">IF($B820="","",IFERROR(INDEX(Estimasi!$I$2:$I$1000,MATCH($B820,Estimasi!$H$2:$H$1000,0)),""))</f>
        <v/>
      </c>
      <c r="D820" s="32" t="str">
        <f t="array" ref="D820">IF($C820="","",IFERROR(INDEX(Estimasi!$M$2:$M$1000,MATCH($C820,Estimasi!$L$2:$L$1000,0)),""))</f>
        <v/>
      </c>
      <c r="E820" s="32"/>
      <c r="F820" s="32" t="str">
        <f t="shared" si="4"/>
        <v/>
      </c>
      <c r="G820" s="11" t="str">
        <f t="shared" si="5"/>
        <v/>
      </c>
    </row>
    <row r="821" ht="15.75" customHeight="1">
      <c r="A821" s="52"/>
      <c r="B821" s="11"/>
      <c r="C821" s="11" t="str">
        <f t="array" ref="C821">IF($B821="","",IFERROR(INDEX(Estimasi!$I$2:$I$1000,MATCH($B821,Estimasi!$H$2:$H$1000,0)),""))</f>
        <v/>
      </c>
      <c r="D821" s="32" t="str">
        <f t="array" ref="D821">IF($C821="","",IFERROR(INDEX(Estimasi!$M$2:$M$1000,MATCH($C821,Estimasi!$L$2:$L$1000,0)),""))</f>
        <v/>
      </c>
      <c r="E821" s="32"/>
      <c r="F821" s="32" t="str">
        <f t="shared" si="4"/>
        <v/>
      </c>
      <c r="G821" s="11" t="str">
        <f t="shared" si="5"/>
        <v/>
      </c>
    </row>
    <row r="822" ht="15.75" customHeight="1">
      <c r="A822" s="52"/>
      <c r="B822" s="11"/>
      <c r="C822" s="11" t="str">
        <f t="array" ref="C822">IF($B822="","",IFERROR(INDEX(Estimasi!$I$2:$I$1000,MATCH($B822,Estimasi!$H$2:$H$1000,0)),""))</f>
        <v/>
      </c>
      <c r="D822" s="32" t="str">
        <f t="array" ref="D822">IF($C822="","",IFERROR(INDEX(Estimasi!$M$2:$M$1000,MATCH($C822,Estimasi!$L$2:$L$1000,0)),""))</f>
        <v/>
      </c>
      <c r="E822" s="32"/>
      <c r="F822" s="32" t="str">
        <f t="shared" si="4"/>
        <v/>
      </c>
      <c r="G822" s="11" t="str">
        <f t="shared" si="5"/>
        <v/>
      </c>
    </row>
    <row r="823" ht="15.75" customHeight="1">
      <c r="A823" s="52"/>
      <c r="B823" s="11"/>
      <c r="C823" s="11" t="str">
        <f t="array" ref="C823">IF($B823="","",IFERROR(INDEX(Estimasi!$I$2:$I$1000,MATCH($B823,Estimasi!$H$2:$H$1000,0)),""))</f>
        <v/>
      </c>
      <c r="D823" s="32" t="str">
        <f t="array" ref="D823">IF($C823="","",IFERROR(INDEX(Estimasi!$M$2:$M$1000,MATCH($C823,Estimasi!$L$2:$L$1000,0)),""))</f>
        <v/>
      </c>
      <c r="E823" s="32"/>
      <c r="F823" s="32" t="str">
        <f t="shared" si="4"/>
        <v/>
      </c>
      <c r="G823" s="11" t="str">
        <f t="shared" si="5"/>
        <v/>
      </c>
    </row>
    <row r="824" ht="15.75" customHeight="1">
      <c r="A824" s="52"/>
      <c r="B824" s="11"/>
      <c r="C824" s="11" t="str">
        <f t="array" ref="C824">IF($B824="","",IFERROR(INDEX(Estimasi!$I$2:$I$1000,MATCH($B824,Estimasi!$H$2:$H$1000,0)),""))</f>
        <v/>
      </c>
      <c r="D824" s="32" t="str">
        <f t="array" ref="D824">IF($C824="","",IFERROR(INDEX(Estimasi!$M$2:$M$1000,MATCH($C824,Estimasi!$L$2:$L$1000,0)),""))</f>
        <v/>
      </c>
      <c r="E824" s="32"/>
      <c r="F824" s="32" t="str">
        <f t="shared" si="4"/>
        <v/>
      </c>
      <c r="G824" s="11" t="str">
        <f t="shared" si="5"/>
        <v/>
      </c>
    </row>
    <row r="825" ht="15.75" customHeight="1">
      <c r="A825" s="52"/>
      <c r="B825" s="11"/>
      <c r="C825" s="11" t="str">
        <f t="array" ref="C825">IF($B825="","",IFERROR(INDEX(Estimasi!$I$2:$I$1000,MATCH($B825,Estimasi!$H$2:$H$1000,0)),""))</f>
        <v/>
      </c>
      <c r="D825" s="32" t="str">
        <f t="array" ref="D825">IF($C825="","",IFERROR(INDEX(Estimasi!$M$2:$M$1000,MATCH($C825,Estimasi!$L$2:$L$1000,0)),""))</f>
        <v/>
      </c>
      <c r="E825" s="32"/>
      <c r="F825" s="32" t="str">
        <f t="shared" si="4"/>
        <v/>
      </c>
      <c r="G825" s="11" t="str">
        <f t="shared" si="5"/>
        <v/>
      </c>
    </row>
    <row r="826" ht="15.75" customHeight="1">
      <c r="A826" s="52"/>
      <c r="B826" s="11"/>
      <c r="C826" s="11" t="str">
        <f t="array" ref="C826">IF($B826="","",IFERROR(INDEX(Estimasi!$I$2:$I$1000,MATCH($B826,Estimasi!$H$2:$H$1000,0)),""))</f>
        <v/>
      </c>
      <c r="D826" s="32" t="str">
        <f t="array" ref="D826">IF($C826="","",IFERROR(INDEX(Estimasi!$M$2:$M$1000,MATCH($C826,Estimasi!$L$2:$L$1000,0)),""))</f>
        <v/>
      </c>
      <c r="E826" s="32"/>
      <c r="F826" s="32" t="str">
        <f t="shared" si="4"/>
        <v/>
      </c>
      <c r="G826" s="11" t="str">
        <f t="shared" si="5"/>
        <v/>
      </c>
    </row>
    <row r="827" ht="15.75" customHeight="1">
      <c r="A827" s="52"/>
      <c r="B827" s="11"/>
      <c r="C827" s="11" t="str">
        <f t="array" ref="C827">IF($B827="","",IFERROR(INDEX(Estimasi!$I$2:$I$1000,MATCH($B827,Estimasi!$H$2:$H$1000,0)),""))</f>
        <v/>
      </c>
      <c r="D827" s="32" t="str">
        <f t="array" ref="D827">IF($C827="","",IFERROR(INDEX(Estimasi!$M$2:$M$1000,MATCH($C827,Estimasi!$L$2:$L$1000,0)),""))</f>
        <v/>
      </c>
      <c r="E827" s="32"/>
      <c r="F827" s="32" t="str">
        <f t="shared" si="4"/>
        <v/>
      </c>
      <c r="G827" s="11" t="str">
        <f t="shared" si="5"/>
        <v/>
      </c>
    </row>
    <row r="828" ht="15.75" customHeight="1">
      <c r="A828" s="52"/>
      <c r="B828" s="11"/>
      <c r="C828" s="11" t="str">
        <f t="array" ref="C828">IF($B828="","",IFERROR(INDEX(Estimasi!$I$2:$I$1000,MATCH($B828,Estimasi!$H$2:$H$1000,0)),""))</f>
        <v/>
      </c>
      <c r="D828" s="32" t="str">
        <f t="array" ref="D828">IF($C828="","",IFERROR(INDEX(Estimasi!$M$2:$M$1000,MATCH($C828,Estimasi!$L$2:$L$1000,0)),""))</f>
        <v/>
      </c>
      <c r="E828" s="32"/>
      <c r="F828" s="32" t="str">
        <f t="shared" si="4"/>
        <v/>
      </c>
      <c r="G828" s="11" t="str">
        <f t="shared" si="5"/>
        <v/>
      </c>
    </row>
    <row r="829" ht="15.75" customHeight="1">
      <c r="A829" s="52"/>
      <c r="B829" s="11"/>
      <c r="C829" s="11" t="str">
        <f t="array" ref="C829">IF($B829="","",IFERROR(INDEX(Estimasi!$I$2:$I$1000,MATCH($B829,Estimasi!$H$2:$H$1000,0)),""))</f>
        <v/>
      </c>
      <c r="D829" s="32" t="str">
        <f t="array" ref="D829">IF($C829="","",IFERROR(INDEX(Estimasi!$M$2:$M$1000,MATCH($C829,Estimasi!$L$2:$L$1000,0)),""))</f>
        <v/>
      </c>
      <c r="E829" s="32"/>
      <c r="F829" s="32" t="str">
        <f t="shared" si="4"/>
        <v/>
      </c>
      <c r="G829" s="11" t="str">
        <f t="shared" si="5"/>
        <v/>
      </c>
    </row>
    <row r="830" ht="15.75" customHeight="1">
      <c r="A830" s="52"/>
      <c r="B830" s="11"/>
      <c r="C830" s="11" t="str">
        <f t="array" ref="C830">IF($B830="","",IFERROR(INDEX(Estimasi!$I$2:$I$1000,MATCH($B830,Estimasi!$H$2:$H$1000,0)),""))</f>
        <v/>
      </c>
      <c r="D830" s="32" t="str">
        <f t="array" ref="D830">IF($C830="","",IFERROR(INDEX(Estimasi!$M$2:$M$1000,MATCH($C830,Estimasi!$L$2:$L$1000,0)),""))</f>
        <v/>
      </c>
      <c r="E830" s="32"/>
      <c r="F830" s="32" t="str">
        <f t="shared" si="4"/>
        <v/>
      </c>
      <c r="G830" s="11" t="str">
        <f t="shared" si="5"/>
        <v/>
      </c>
    </row>
    <row r="831" ht="15.75" customHeight="1">
      <c r="A831" s="52"/>
      <c r="B831" s="11"/>
      <c r="C831" s="11" t="str">
        <f t="array" ref="C831">IF($B831="","",IFERROR(INDEX(Estimasi!$I$2:$I$1000,MATCH($B831,Estimasi!$H$2:$H$1000,0)),""))</f>
        <v/>
      </c>
      <c r="D831" s="32" t="str">
        <f t="array" ref="D831">IF($C831="","",IFERROR(INDEX(Estimasi!$M$2:$M$1000,MATCH($C831,Estimasi!$L$2:$L$1000,0)),""))</f>
        <v/>
      </c>
      <c r="E831" s="32"/>
      <c r="F831" s="32" t="str">
        <f t="shared" si="4"/>
        <v/>
      </c>
      <c r="G831" s="11" t="str">
        <f t="shared" si="5"/>
        <v/>
      </c>
    </row>
    <row r="832" ht="15.75" customHeight="1">
      <c r="A832" s="52"/>
      <c r="B832" s="11"/>
      <c r="C832" s="11" t="str">
        <f t="array" ref="C832">IF($B832="","",IFERROR(INDEX(Estimasi!$I$2:$I$1000,MATCH($B832,Estimasi!$H$2:$H$1000,0)),""))</f>
        <v/>
      </c>
      <c r="D832" s="32" t="str">
        <f t="array" ref="D832">IF($C832="","",IFERROR(INDEX(Estimasi!$M$2:$M$1000,MATCH($C832,Estimasi!$L$2:$L$1000,0)),""))</f>
        <v/>
      </c>
      <c r="E832" s="32"/>
      <c r="F832" s="32" t="str">
        <f t="shared" si="4"/>
        <v/>
      </c>
      <c r="G832" s="11" t="str">
        <f t="shared" si="5"/>
        <v/>
      </c>
    </row>
    <row r="833" ht="15.75" customHeight="1">
      <c r="A833" s="52"/>
      <c r="B833" s="11"/>
      <c r="C833" s="11" t="str">
        <f t="array" ref="C833">IF($B833="","",IFERROR(INDEX(Estimasi!$I$2:$I$1000,MATCH($B833,Estimasi!$H$2:$H$1000,0)),""))</f>
        <v/>
      </c>
      <c r="D833" s="32" t="str">
        <f t="array" ref="D833">IF($C833="","",IFERROR(INDEX(Estimasi!$M$2:$M$1000,MATCH($C833,Estimasi!$L$2:$L$1000,0)),""))</f>
        <v/>
      </c>
      <c r="E833" s="32"/>
      <c r="F833" s="32" t="str">
        <f t="shared" si="4"/>
        <v/>
      </c>
      <c r="G833" s="11" t="str">
        <f t="shared" si="5"/>
        <v/>
      </c>
    </row>
    <row r="834" ht="15.75" customHeight="1">
      <c r="A834" s="52"/>
      <c r="B834" s="11"/>
      <c r="C834" s="11" t="str">
        <f t="array" ref="C834">IF($B834="","",IFERROR(INDEX(Estimasi!$I$2:$I$1000,MATCH($B834,Estimasi!$H$2:$H$1000,0)),""))</f>
        <v/>
      </c>
      <c r="D834" s="32" t="str">
        <f t="array" ref="D834">IF($C834="","",IFERROR(INDEX(Estimasi!$M$2:$M$1000,MATCH($C834,Estimasi!$L$2:$L$1000,0)),""))</f>
        <v/>
      </c>
      <c r="E834" s="32"/>
      <c r="F834" s="32" t="str">
        <f t="shared" si="4"/>
        <v/>
      </c>
      <c r="G834" s="11" t="str">
        <f t="shared" si="5"/>
        <v/>
      </c>
    </row>
    <row r="835" ht="15.75" customHeight="1">
      <c r="A835" s="52"/>
      <c r="B835" s="11"/>
      <c r="C835" s="11" t="str">
        <f t="array" ref="C835">IF($B835="","",IFERROR(INDEX(Estimasi!$I$2:$I$1000,MATCH($B835,Estimasi!$H$2:$H$1000,0)),""))</f>
        <v/>
      </c>
      <c r="D835" s="32" t="str">
        <f t="array" ref="D835">IF($C835="","",IFERROR(INDEX(Estimasi!$M$2:$M$1000,MATCH($C835,Estimasi!$L$2:$L$1000,0)),""))</f>
        <v/>
      </c>
      <c r="E835" s="32"/>
      <c r="F835" s="32" t="str">
        <f t="shared" si="4"/>
        <v/>
      </c>
      <c r="G835" s="11" t="str">
        <f t="shared" si="5"/>
        <v/>
      </c>
    </row>
    <row r="836" ht="15.75" customHeight="1">
      <c r="A836" s="52"/>
      <c r="B836" s="11"/>
      <c r="C836" s="11" t="str">
        <f t="array" ref="C836">IF($B836="","",IFERROR(INDEX(Estimasi!$I$2:$I$1000,MATCH($B836,Estimasi!$H$2:$H$1000,0)),""))</f>
        <v/>
      </c>
      <c r="D836" s="32" t="str">
        <f t="array" ref="D836">IF($C836="","",IFERROR(INDEX(Estimasi!$M$2:$M$1000,MATCH($C836,Estimasi!$L$2:$L$1000,0)),""))</f>
        <v/>
      </c>
      <c r="E836" s="32"/>
      <c r="F836" s="32" t="str">
        <f t="shared" si="4"/>
        <v/>
      </c>
      <c r="G836" s="11" t="str">
        <f t="shared" si="5"/>
        <v/>
      </c>
    </row>
    <row r="837" ht="15.75" customHeight="1">
      <c r="A837" s="52"/>
      <c r="B837" s="11"/>
      <c r="C837" s="11" t="str">
        <f t="array" ref="C837">IF($B837="","",IFERROR(INDEX(Estimasi!$I$2:$I$1000,MATCH($B837,Estimasi!$H$2:$H$1000,0)),""))</f>
        <v/>
      </c>
      <c r="D837" s="32" t="str">
        <f t="array" ref="D837">IF($C837="","",IFERROR(INDEX(Estimasi!$M$2:$M$1000,MATCH($C837,Estimasi!$L$2:$L$1000,0)),""))</f>
        <v/>
      </c>
      <c r="E837" s="32"/>
      <c r="F837" s="32" t="str">
        <f t="shared" si="4"/>
        <v/>
      </c>
      <c r="G837" s="11" t="str">
        <f t="shared" si="5"/>
        <v/>
      </c>
    </row>
    <row r="838" ht="15.75" customHeight="1">
      <c r="A838" s="52"/>
      <c r="B838" s="11"/>
      <c r="C838" s="11" t="str">
        <f t="array" ref="C838">IF($B838="","",IFERROR(INDEX(Estimasi!$I$2:$I$1000,MATCH($B838,Estimasi!$H$2:$H$1000,0)),""))</f>
        <v/>
      </c>
      <c r="D838" s="32" t="str">
        <f t="array" ref="D838">IF($C838="","",IFERROR(INDEX(Estimasi!$M$2:$M$1000,MATCH($C838,Estimasi!$L$2:$L$1000,0)),""))</f>
        <v/>
      </c>
      <c r="E838" s="32"/>
      <c r="F838" s="32" t="str">
        <f t="shared" si="4"/>
        <v/>
      </c>
      <c r="G838" s="11" t="str">
        <f t="shared" si="5"/>
        <v/>
      </c>
    </row>
    <row r="839" ht="15.75" customHeight="1">
      <c r="A839" s="52"/>
      <c r="B839" s="11"/>
      <c r="C839" s="11" t="str">
        <f t="array" ref="C839">IF($B839="","",IFERROR(INDEX(Estimasi!$I$2:$I$1000,MATCH($B839,Estimasi!$H$2:$H$1000,0)),""))</f>
        <v/>
      </c>
      <c r="D839" s="32" t="str">
        <f t="array" ref="D839">IF($C839="","",IFERROR(INDEX(Estimasi!$M$2:$M$1000,MATCH($C839,Estimasi!$L$2:$L$1000,0)),""))</f>
        <v/>
      </c>
      <c r="E839" s="32"/>
      <c r="F839" s="32" t="str">
        <f t="shared" si="4"/>
        <v/>
      </c>
      <c r="G839" s="11" t="str">
        <f t="shared" si="5"/>
        <v/>
      </c>
    </row>
    <row r="840" ht="15.75" customHeight="1">
      <c r="A840" s="52"/>
      <c r="B840" s="11"/>
      <c r="C840" s="11" t="str">
        <f t="array" ref="C840">IF($B840="","",IFERROR(INDEX(Estimasi!$I$2:$I$1000,MATCH($B840,Estimasi!$H$2:$H$1000,0)),""))</f>
        <v/>
      </c>
      <c r="D840" s="32" t="str">
        <f t="array" ref="D840">IF($C840="","",IFERROR(INDEX(Estimasi!$M$2:$M$1000,MATCH($C840,Estimasi!$L$2:$L$1000,0)),""))</f>
        <v/>
      </c>
      <c r="E840" s="32"/>
      <c r="F840" s="32" t="str">
        <f t="shared" si="4"/>
        <v/>
      </c>
      <c r="G840" s="11" t="str">
        <f t="shared" si="5"/>
        <v/>
      </c>
    </row>
    <row r="841" ht="15.75" customHeight="1">
      <c r="A841" s="52"/>
      <c r="B841" s="11"/>
      <c r="C841" s="11" t="str">
        <f t="array" ref="C841">IF($B841="","",IFERROR(INDEX(Estimasi!$I$2:$I$1000,MATCH($B841,Estimasi!$H$2:$H$1000,0)),""))</f>
        <v/>
      </c>
      <c r="D841" s="32" t="str">
        <f t="array" ref="D841">IF($C841="","",IFERROR(INDEX(Estimasi!$M$2:$M$1000,MATCH($C841,Estimasi!$L$2:$L$1000,0)),""))</f>
        <v/>
      </c>
      <c r="E841" s="32"/>
      <c r="F841" s="32" t="str">
        <f t="shared" si="4"/>
        <v/>
      </c>
      <c r="G841" s="11" t="str">
        <f t="shared" si="5"/>
        <v/>
      </c>
    </row>
    <row r="842" ht="15.75" customHeight="1">
      <c r="A842" s="52"/>
      <c r="B842" s="11"/>
      <c r="C842" s="11" t="str">
        <f t="array" ref="C842">IF($B842="","",IFERROR(INDEX(Estimasi!$I$2:$I$1000,MATCH($B842,Estimasi!$H$2:$H$1000,0)),""))</f>
        <v/>
      </c>
      <c r="D842" s="32" t="str">
        <f t="array" ref="D842">IF($C842="","",IFERROR(INDEX(Estimasi!$M$2:$M$1000,MATCH($C842,Estimasi!$L$2:$L$1000,0)),""))</f>
        <v/>
      </c>
      <c r="E842" s="32"/>
      <c r="F842" s="32" t="str">
        <f t="shared" si="4"/>
        <v/>
      </c>
      <c r="G842" s="11" t="str">
        <f t="shared" si="5"/>
        <v/>
      </c>
    </row>
    <row r="843" ht="15.75" customHeight="1">
      <c r="A843" s="52"/>
      <c r="B843" s="11"/>
      <c r="C843" s="11" t="str">
        <f t="array" ref="C843">IF($B843="","",IFERROR(INDEX(Estimasi!$I$2:$I$1000,MATCH($B843,Estimasi!$H$2:$H$1000,0)),""))</f>
        <v/>
      </c>
      <c r="D843" s="32" t="str">
        <f t="array" ref="D843">IF($C843="","",IFERROR(INDEX(Estimasi!$M$2:$M$1000,MATCH($C843,Estimasi!$L$2:$L$1000,0)),""))</f>
        <v/>
      </c>
      <c r="E843" s="32"/>
      <c r="F843" s="32" t="str">
        <f t="shared" si="4"/>
        <v/>
      </c>
      <c r="G843" s="11" t="str">
        <f t="shared" si="5"/>
        <v/>
      </c>
    </row>
    <row r="844" ht="15.75" customHeight="1">
      <c r="A844" s="52"/>
      <c r="B844" s="11"/>
      <c r="C844" s="11" t="str">
        <f t="array" ref="C844">IF($B844="","",IFERROR(INDEX(Estimasi!$I$2:$I$1000,MATCH($B844,Estimasi!$H$2:$H$1000,0)),""))</f>
        <v/>
      </c>
      <c r="D844" s="32" t="str">
        <f t="array" ref="D844">IF($C844="","",IFERROR(INDEX(Estimasi!$M$2:$M$1000,MATCH($C844,Estimasi!$L$2:$L$1000,0)),""))</f>
        <v/>
      </c>
      <c r="E844" s="32"/>
      <c r="F844" s="32" t="str">
        <f t="shared" si="4"/>
        <v/>
      </c>
      <c r="G844" s="11" t="str">
        <f t="shared" si="5"/>
        <v/>
      </c>
    </row>
    <row r="845" ht="15.75" customHeight="1">
      <c r="A845" s="52"/>
      <c r="B845" s="11"/>
      <c r="C845" s="11" t="str">
        <f t="array" ref="C845">IF($B845="","",IFERROR(INDEX(Estimasi!$I$2:$I$1000,MATCH($B845,Estimasi!$H$2:$H$1000,0)),""))</f>
        <v/>
      </c>
      <c r="D845" s="32" t="str">
        <f t="array" ref="D845">IF($C845="","",IFERROR(INDEX(Estimasi!$M$2:$M$1000,MATCH($C845,Estimasi!$L$2:$L$1000,0)),""))</f>
        <v/>
      </c>
      <c r="E845" s="32"/>
      <c r="F845" s="32" t="str">
        <f t="shared" si="4"/>
        <v/>
      </c>
      <c r="G845" s="11" t="str">
        <f t="shared" si="5"/>
        <v/>
      </c>
    </row>
    <row r="846" ht="15.75" customHeight="1">
      <c r="A846" s="52"/>
      <c r="B846" s="11"/>
      <c r="C846" s="11" t="str">
        <f t="array" ref="C846">IF($B846="","",IFERROR(INDEX(Estimasi!$I$2:$I$1000,MATCH($B846,Estimasi!$H$2:$H$1000,0)),""))</f>
        <v/>
      </c>
      <c r="D846" s="32" t="str">
        <f t="array" ref="D846">IF($C846="","",IFERROR(INDEX(Estimasi!$M$2:$M$1000,MATCH($C846,Estimasi!$L$2:$L$1000,0)),""))</f>
        <v/>
      </c>
      <c r="E846" s="32"/>
      <c r="F846" s="32" t="str">
        <f t="shared" si="4"/>
        <v/>
      </c>
      <c r="G846" s="11" t="str">
        <f t="shared" si="5"/>
        <v/>
      </c>
    </row>
    <row r="847" ht="15.75" customHeight="1">
      <c r="A847" s="52"/>
      <c r="B847" s="11"/>
      <c r="C847" s="11" t="str">
        <f t="array" ref="C847">IF($B847="","",IFERROR(INDEX(Estimasi!$I$2:$I$1000,MATCH($B847,Estimasi!$H$2:$H$1000,0)),""))</f>
        <v/>
      </c>
      <c r="D847" s="32" t="str">
        <f t="array" ref="D847">IF($C847="","",IFERROR(INDEX(Estimasi!$M$2:$M$1000,MATCH($C847,Estimasi!$L$2:$L$1000,0)),""))</f>
        <v/>
      </c>
      <c r="E847" s="32"/>
      <c r="F847" s="32" t="str">
        <f t="shared" si="4"/>
        <v/>
      </c>
      <c r="G847" s="11" t="str">
        <f t="shared" si="5"/>
        <v/>
      </c>
    </row>
    <row r="848" ht="15.75" customHeight="1">
      <c r="A848" s="52"/>
      <c r="B848" s="11"/>
      <c r="C848" s="11" t="str">
        <f t="array" ref="C848">IF($B848="","",IFERROR(INDEX(Estimasi!$I$2:$I$1000,MATCH($B848,Estimasi!$H$2:$H$1000,0)),""))</f>
        <v/>
      </c>
      <c r="D848" s="32" t="str">
        <f t="array" ref="D848">IF($C848="","",IFERROR(INDEX(Estimasi!$M$2:$M$1000,MATCH($C848,Estimasi!$L$2:$L$1000,0)),""))</f>
        <v/>
      </c>
      <c r="E848" s="32"/>
      <c r="F848" s="32" t="str">
        <f t="shared" si="4"/>
        <v/>
      </c>
      <c r="G848" s="11" t="str">
        <f t="shared" si="5"/>
        <v/>
      </c>
    </row>
    <row r="849" ht="15.75" customHeight="1">
      <c r="A849" s="52"/>
      <c r="B849" s="11"/>
      <c r="C849" s="11" t="str">
        <f t="array" ref="C849">IF($B849="","",IFERROR(INDEX(Estimasi!$I$2:$I$1000,MATCH($B849,Estimasi!$H$2:$H$1000,0)),""))</f>
        <v/>
      </c>
      <c r="D849" s="32" t="str">
        <f t="array" ref="D849">IF($C849="","",IFERROR(INDEX(Estimasi!$M$2:$M$1000,MATCH($C849,Estimasi!$L$2:$L$1000,0)),""))</f>
        <v/>
      </c>
      <c r="E849" s="32"/>
      <c r="F849" s="32" t="str">
        <f t="shared" si="4"/>
        <v/>
      </c>
      <c r="G849" s="11" t="str">
        <f t="shared" si="5"/>
        <v/>
      </c>
    </row>
    <row r="850" ht="15.75" customHeight="1">
      <c r="A850" s="52"/>
      <c r="B850" s="11"/>
      <c r="C850" s="11" t="str">
        <f t="array" ref="C850">IF($B850="","",IFERROR(INDEX(Estimasi!$I$2:$I$1000,MATCH($B850,Estimasi!$H$2:$H$1000,0)),""))</f>
        <v/>
      </c>
      <c r="D850" s="32" t="str">
        <f t="array" ref="D850">IF($C850="","",IFERROR(INDEX(Estimasi!$M$2:$M$1000,MATCH($C850,Estimasi!$L$2:$L$1000,0)),""))</f>
        <v/>
      </c>
      <c r="E850" s="32"/>
      <c r="F850" s="32" t="str">
        <f t="shared" si="4"/>
        <v/>
      </c>
      <c r="G850" s="11" t="str">
        <f t="shared" si="5"/>
        <v/>
      </c>
    </row>
    <row r="851" ht="15.75" customHeight="1">
      <c r="A851" s="52"/>
      <c r="B851" s="11"/>
      <c r="C851" s="11" t="str">
        <f t="array" ref="C851">IF($B851="","",IFERROR(INDEX(Estimasi!$I$2:$I$1000,MATCH($B851,Estimasi!$H$2:$H$1000,0)),""))</f>
        <v/>
      </c>
      <c r="D851" s="32" t="str">
        <f t="array" ref="D851">IF($C851="","",IFERROR(INDEX(Estimasi!$M$2:$M$1000,MATCH($C851,Estimasi!$L$2:$L$1000,0)),""))</f>
        <v/>
      </c>
      <c r="E851" s="32"/>
      <c r="F851" s="32" t="str">
        <f t="shared" si="4"/>
        <v/>
      </c>
      <c r="G851" s="11" t="str">
        <f t="shared" si="5"/>
        <v/>
      </c>
    </row>
    <row r="852" ht="15.75" customHeight="1">
      <c r="A852" s="52"/>
      <c r="B852" s="11"/>
      <c r="C852" s="11" t="str">
        <f t="array" ref="C852">IF($B852="","",IFERROR(INDEX(Estimasi!$I$2:$I$1000,MATCH($B852,Estimasi!$H$2:$H$1000,0)),""))</f>
        <v/>
      </c>
      <c r="D852" s="32" t="str">
        <f t="array" ref="D852">IF($C852="","",IFERROR(INDEX(Estimasi!$M$2:$M$1000,MATCH($C852,Estimasi!$L$2:$L$1000,0)),""))</f>
        <v/>
      </c>
      <c r="E852" s="32"/>
      <c r="F852" s="32" t="str">
        <f t="shared" si="4"/>
        <v/>
      </c>
      <c r="G852" s="11" t="str">
        <f t="shared" si="5"/>
        <v/>
      </c>
    </row>
    <row r="853" ht="15.75" customHeight="1">
      <c r="A853" s="52"/>
      <c r="B853" s="11"/>
      <c r="C853" s="11" t="str">
        <f t="array" ref="C853">IF($B853="","",IFERROR(INDEX(Estimasi!$I$2:$I$1000,MATCH($B853,Estimasi!$H$2:$H$1000,0)),""))</f>
        <v/>
      </c>
      <c r="D853" s="32" t="str">
        <f t="array" ref="D853">IF($C853="","",IFERROR(INDEX(Estimasi!$M$2:$M$1000,MATCH($C853,Estimasi!$L$2:$L$1000,0)),""))</f>
        <v/>
      </c>
      <c r="E853" s="32"/>
      <c r="F853" s="32" t="str">
        <f t="shared" si="4"/>
        <v/>
      </c>
      <c r="G853" s="11" t="str">
        <f t="shared" si="5"/>
        <v/>
      </c>
    </row>
    <row r="854" ht="15.75" customHeight="1">
      <c r="A854" s="52"/>
      <c r="B854" s="11"/>
      <c r="C854" s="11" t="str">
        <f t="array" ref="C854">IF($B854="","",IFERROR(INDEX(Estimasi!$I$2:$I$1000,MATCH($B854,Estimasi!$H$2:$H$1000,0)),""))</f>
        <v/>
      </c>
      <c r="D854" s="32" t="str">
        <f t="array" ref="D854">IF($C854="","",IFERROR(INDEX(Estimasi!$M$2:$M$1000,MATCH($C854,Estimasi!$L$2:$L$1000,0)),""))</f>
        <v/>
      </c>
      <c r="E854" s="32"/>
      <c r="F854" s="32" t="str">
        <f t="shared" si="4"/>
        <v/>
      </c>
      <c r="G854" s="11" t="str">
        <f t="shared" si="5"/>
        <v/>
      </c>
    </row>
    <row r="855" ht="15.75" customHeight="1">
      <c r="A855" s="52"/>
      <c r="B855" s="11"/>
      <c r="C855" s="11" t="str">
        <f t="array" ref="C855">IF($B855="","",IFERROR(INDEX(Estimasi!$I$2:$I$1000,MATCH($B855,Estimasi!$H$2:$H$1000,0)),""))</f>
        <v/>
      </c>
      <c r="D855" s="32" t="str">
        <f t="array" ref="D855">IF($C855="","",IFERROR(INDEX(Estimasi!$M$2:$M$1000,MATCH($C855,Estimasi!$L$2:$L$1000,0)),""))</f>
        <v/>
      </c>
      <c r="E855" s="32"/>
      <c r="F855" s="32" t="str">
        <f t="shared" si="4"/>
        <v/>
      </c>
      <c r="G855" s="11" t="str">
        <f t="shared" si="5"/>
        <v/>
      </c>
    </row>
    <row r="856" ht="15.75" customHeight="1">
      <c r="A856" s="52"/>
      <c r="B856" s="11"/>
      <c r="C856" s="11" t="str">
        <f t="array" ref="C856">IF($B856="","",IFERROR(INDEX(Estimasi!$I$2:$I$1000,MATCH($B856,Estimasi!$H$2:$H$1000,0)),""))</f>
        <v/>
      </c>
      <c r="D856" s="32" t="str">
        <f t="array" ref="D856">IF($C856="","",IFERROR(INDEX(Estimasi!$M$2:$M$1000,MATCH($C856,Estimasi!$L$2:$L$1000,0)),""))</f>
        <v/>
      </c>
      <c r="E856" s="32"/>
      <c r="F856" s="32" t="str">
        <f t="shared" si="4"/>
        <v/>
      </c>
      <c r="G856" s="11" t="str">
        <f t="shared" si="5"/>
        <v/>
      </c>
    </row>
    <row r="857" ht="15.75" customHeight="1">
      <c r="A857" s="52"/>
      <c r="B857" s="11"/>
      <c r="C857" s="11" t="str">
        <f t="array" ref="C857">IF($B857="","",IFERROR(INDEX(Estimasi!$I$2:$I$1000,MATCH($B857,Estimasi!$H$2:$H$1000,0)),""))</f>
        <v/>
      </c>
      <c r="D857" s="32" t="str">
        <f t="array" ref="D857">IF($C857="","",IFERROR(INDEX(Estimasi!$M$2:$M$1000,MATCH($C857,Estimasi!$L$2:$L$1000,0)),""))</f>
        <v/>
      </c>
      <c r="E857" s="32"/>
      <c r="F857" s="32" t="str">
        <f t="shared" si="4"/>
        <v/>
      </c>
      <c r="G857" s="11" t="str">
        <f t="shared" si="5"/>
        <v/>
      </c>
    </row>
    <row r="858" ht="15.75" customHeight="1">
      <c r="A858" s="52"/>
      <c r="B858" s="11"/>
      <c r="C858" s="11" t="str">
        <f t="array" ref="C858">IF($B858="","",IFERROR(INDEX(Estimasi!$I$2:$I$1000,MATCH($B858,Estimasi!$H$2:$H$1000,0)),""))</f>
        <v/>
      </c>
      <c r="D858" s="32" t="str">
        <f t="array" ref="D858">IF($C858="","",IFERROR(INDEX(Estimasi!$M$2:$M$1000,MATCH($C858,Estimasi!$L$2:$L$1000,0)),""))</f>
        <v/>
      </c>
      <c r="E858" s="32"/>
      <c r="F858" s="32" t="str">
        <f t="shared" si="4"/>
        <v/>
      </c>
      <c r="G858" s="11" t="str">
        <f t="shared" si="5"/>
        <v/>
      </c>
    </row>
    <row r="859" ht="15.75" customHeight="1">
      <c r="A859" s="52"/>
      <c r="B859" s="11"/>
      <c r="C859" s="11" t="str">
        <f t="array" ref="C859">IF($B859="","",IFERROR(INDEX(Estimasi!$I$2:$I$1000,MATCH($B859,Estimasi!$H$2:$H$1000,0)),""))</f>
        <v/>
      </c>
      <c r="D859" s="32" t="str">
        <f t="array" ref="D859">IF($C859="","",IFERROR(INDEX(Estimasi!$M$2:$M$1000,MATCH($C859,Estimasi!$L$2:$L$1000,0)),""))</f>
        <v/>
      </c>
      <c r="E859" s="32"/>
      <c r="F859" s="32" t="str">
        <f t="shared" si="4"/>
        <v/>
      </c>
      <c r="G859" s="11" t="str">
        <f t="shared" si="5"/>
        <v/>
      </c>
    </row>
    <row r="860" ht="15.75" customHeight="1">
      <c r="A860" s="52"/>
      <c r="B860" s="11"/>
      <c r="C860" s="11" t="str">
        <f t="array" ref="C860">IF($B860="","",IFERROR(INDEX(Estimasi!$I$2:$I$1000,MATCH($B860,Estimasi!$H$2:$H$1000,0)),""))</f>
        <v/>
      </c>
      <c r="D860" s="32" t="str">
        <f t="array" ref="D860">IF($C860="","",IFERROR(INDEX(Estimasi!$M$2:$M$1000,MATCH($C860,Estimasi!$L$2:$L$1000,0)),""))</f>
        <v/>
      </c>
      <c r="E860" s="32"/>
      <c r="F860" s="32" t="str">
        <f t="shared" si="4"/>
        <v/>
      </c>
      <c r="G860" s="11" t="str">
        <f t="shared" si="5"/>
        <v/>
      </c>
    </row>
    <row r="861" ht="15.75" customHeight="1">
      <c r="A861" s="52"/>
      <c r="B861" s="11"/>
      <c r="C861" s="11" t="str">
        <f t="array" ref="C861">IF($B861="","",IFERROR(INDEX(Estimasi!$I$2:$I$1000,MATCH($B861,Estimasi!$H$2:$H$1000,0)),""))</f>
        <v/>
      </c>
      <c r="D861" s="32" t="str">
        <f t="array" ref="D861">IF($C861="","",IFERROR(INDEX(Estimasi!$M$2:$M$1000,MATCH($C861,Estimasi!$L$2:$L$1000,0)),""))</f>
        <v/>
      </c>
      <c r="E861" s="32"/>
      <c r="F861" s="32" t="str">
        <f t="shared" si="4"/>
        <v/>
      </c>
      <c r="G861" s="11" t="str">
        <f t="shared" si="5"/>
        <v/>
      </c>
    </row>
    <row r="862" ht="15.75" customHeight="1">
      <c r="A862" s="52"/>
      <c r="B862" s="11"/>
      <c r="C862" s="11" t="str">
        <f t="array" ref="C862">IF($B862="","",IFERROR(INDEX(Estimasi!$I$2:$I$1000,MATCH($B862,Estimasi!$H$2:$H$1000,0)),""))</f>
        <v/>
      </c>
      <c r="D862" s="32" t="str">
        <f t="array" ref="D862">IF($C862="","",IFERROR(INDEX(Estimasi!$M$2:$M$1000,MATCH($C862,Estimasi!$L$2:$L$1000,0)),""))</f>
        <v/>
      </c>
      <c r="E862" s="32"/>
      <c r="F862" s="32" t="str">
        <f t="shared" si="4"/>
        <v/>
      </c>
      <c r="G862" s="11" t="str">
        <f t="shared" si="5"/>
        <v/>
      </c>
    </row>
    <row r="863" ht="15.75" customHeight="1">
      <c r="A863" s="52"/>
      <c r="B863" s="11"/>
      <c r="C863" s="11" t="str">
        <f t="array" ref="C863">IF($B863="","",IFERROR(INDEX(Estimasi!$I$2:$I$1000,MATCH($B863,Estimasi!$H$2:$H$1000,0)),""))</f>
        <v/>
      </c>
      <c r="D863" s="32" t="str">
        <f t="array" ref="D863">IF($C863="","",IFERROR(INDEX(Estimasi!$M$2:$M$1000,MATCH($C863,Estimasi!$L$2:$L$1000,0)),""))</f>
        <v/>
      </c>
      <c r="E863" s="32"/>
      <c r="F863" s="32" t="str">
        <f t="shared" si="4"/>
        <v/>
      </c>
      <c r="G863" s="11" t="str">
        <f t="shared" si="5"/>
        <v/>
      </c>
    </row>
    <row r="864" ht="15.75" customHeight="1">
      <c r="A864" s="52"/>
      <c r="B864" s="11"/>
      <c r="C864" s="11" t="str">
        <f t="array" ref="C864">IF($B864="","",IFERROR(INDEX(Estimasi!$I$2:$I$1000,MATCH($B864,Estimasi!$H$2:$H$1000,0)),""))</f>
        <v/>
      </c>
      <c r="D864" s="32" t="str">
        <f t="array" ref="D864">IF($C864="","",IFERROR(INDEX(Estimasi!$M$2:$M$1000,MATCH($C864,Estimasi!$L$2:$L$1000,0)),""))</f>
        <v/>
      </c>
      <c r="E864" s="32"/>
      <c r="F864" s="32" t="str">
        <f t="shared" si="4"/>
        <v/>
      </c>
      <c r="G864" s="11" t="str">
        <f t="shared" si="5"/>
        <v/>
      </c>
    </row>
    <row r="865" ht="15.75" customHeight="1">
      <c r="A865" s="52"/>
      <c r="B865" s="11"/>
      <c r="C865" s="11" t="str">
        <f t="array" ref="C865">IF($B865="","",IFERROR(INDEX(Estimasi!$I$2:$I$1000,MATCH($B865,Estimasi!$H$2:$H$1000,0)),""))</f>
        <v/>
      </c>
      <c r="D865" s="32" t="str">
        <f t="array" ref="D865">IF($C865="","",IFERROR(INDEX(Estimasi!$M$2:$M$1000,MATCH($C865,Estimasi!$L$2:$L$1000,0)),""))</f>
        <v/>
      </c>
      <c r="E865" s="32"/>
      <c r="F865" s="32" t="str">
        <f t="shared" si="4"/>
        <v/>
      </c>
      <c r="G865" s="11" t="str">
        <f t="shared" si="5"/>
        <v/>
      </c>
    </row>
    <row r="866" ht="15.75" customHeight="1">
      <c r="A866" s="52"/>
      <c r="B866" s="11"/>
      <c r="C866" s="11" t="str">
        <f t="array" ref="C866">IF($B866="","",IFERROR(INDEX(Estimasi!$I$2:$I$1000,MATCH($B866,Estimasi!$H$2:$H$1000,0)),""))</f>
        <v/>
      </c>
      <c r="D866" s="32" t="str">
        <f t="array" ref="D866">IF($C866="","",IFERROR(INDEX(Estimasi!$M$2:$M$1000,MATCH($C866,Estimasi!$L$2:$L$1000,0)),""))</f>
        <v/>
      </c>
      <c r="E866" s="32"/>
      <c r="F866" s="32" t="str">
        <f t="shared" si="4"/>
        <v/>
      </c>
      <c r="G866" s="11" t="str">
        <f t="shared" si="5"/>
        <v/>
      </c>
    </row>
    <row r="867" ht="15.75" customHeight="1">
      <c r="A867" s="52"/>
      <c r="B867" s="11"/>
      <c r="C867" s="11" t="str">
        <f t="array" ref="C867">IF($B867="","",IFERROR(INDEX(Estimasi!$I$2:$I$1000,MATCH($B867,Estimasi!$H$2:$H$1000,0)),""))</f>
        <v/>
      </c>
      <c r="D867" s="32" t="str">
        <f t="array" ref="D867">IF($C867="","",IFERROR(INDEX(Estimasi!$M$2:$M$1000,MATCH($C867,Estimasi!$L$2:$L$1000,0)),""))</f>
        <v/>
      </c>
      <c r="E867" s="32"/>
      <c r="F867" s="32" t="str">
        <f t="shared" si="4"/>
        <v/>
      </c>
      <c r="G867" s="11" t="str">
        <f t="shared" si="5"/>
        <v/>
      </c>
    </row>
    <row r="868" ht="15.75" customHeight="1">
      <c r="A868" s="52"/>
      <c r="B868" s="11"/>
      <c r="C868" s="11" t="str">
        <f t="array" ref="C868">IF($B868="","",IFERROR(INDEX(Estimasi!$I$2:$I$1000,MATCH($B868,Estimasi!$H$2:$H$1000,0)),""))</f>
        <v/>
      </c>
      <c r="D868" s="32" t="str">
        <f t="array" ref="D868">IF($C868="","",IFERROR(INDEX(Estimasi!$M$2:$M$1000,MATCH($C868,Estimasi!$L$2:$L$1000,0)),""))</f>
        <v/>
      </c>
      <c r="E868" s="32"/>
      <c r="F868" s="32" t="str">
        <f t="shared" si="4"/>
        <v/>
      </c>
      <c r="G868" s="11" t="str">
        <f t="shared" si="5"/>
        <v/>
      </c>
    </row>
    <row r="869" ht="15.75" customHeight="1">
      <c r="A869" s="52"/>
      <c r="B869" s="11"/>
      <c r="C869" s="11" t="str">
        <f t="array" ref="C869">IF($B869="","",IFERROR(INDEX(Estimasi!$I$2:$I$1000,MATCH($B869,Estimasi!$H$2:$H$1000,0)),""))</f>
        <v/>
      </c>
      <c r="D869" s="32" t="str">
        <f t="array" ref="D869">IF($C869="","",IFERROR(INDEX(Estimasi!$M$2:$M$1000,MATCH($C869,Estimasi!$L$2:$L$1000,0)),""))</f>
        <v/>
      </c>
      <c r="E869" s="32"/>
      <c r="F869" s="32" t="str">
        <f t="shared" si="4"/>
        <v/>
      </c>
      <c r="G869" s="11" t="str">
        <f t="shared" si="5"/>
        <v/>
      </c>
    </row>
    <row r="870" ht="15.75" customHeight="1">
      <c r="A870" s="52"/>
      <c r="B870" s="11"/>
      <c r="C870" s="11" t="str">
        <f t="array" ref="C870">IF($B870="","",IFERROR(INDEX(Estimasi!$I$2:$I$1000,MATCH($B870,Estimasi!$H$2:$H$1000,0)),""))</f>
        <v/>
      </c>
      <c r="D870" s="32" t="str">
        <f t="array" ref="D870">IF($C870="","",IFERROR(INDEX(Estimasi!$M$2:$M$1000,MATCH($C870,Estimasi!$L$2:$L$1000,0)),""))</f>
        <v/>
      </c>
      <c r="E870" s="32"/>
      <c r="F870" s="32" t="str">
        <f t="shared" si="4"/>
        <v/>
      </c>
      <c r="G870" s="11" t="str">
        <f t="shared" si="5"/>
        <v/>
      </c>
    </row>
    <row r="871" ht="15.75" customHeight="1">
      <c r="A871" s="52"/>
      <c r="B871" s="11"/>
      <c r="C871" s="11" t="str">
        <f t="array" ref="C871">IF($B871="","",IFERROR(INDEX(Estimasi!$I$2:$I$1000,MATCH($B871,Estimasi!$H$2:$H$1000,0)),""))</f>
        <v/>
      </c>
      <c r="D871" s="32" t="str">
        <f t="array" ref="D871">IF($C871="","",IFERROR(INDEX(Estimasi!$M$2:$M$1000,MATCH($C871,Estimasi!$L$2:$L$1000,0)),""))</f>
        <v/>
      </c>
      <c r="E871" s="32"/>
      <c r="F871" s="32" t="str">
        <f t="shared" si="4"/>
        <v/>
      </c>
      <c r="G871" s="11" t="str">
        <f t="shared" si="5"/>
        <v/>
      </c>
    </row>
    <row r="872" ht="15.75" customHeight="1">
      <c r="A872" s="52"/>
      <c r="B872" s="11"/>
      <c r="C872" s="11" t="str">
        <f t="array" ref="C872">IF($B872="","",IFERROR(INDEX(Estimasi!$I$2:$I$1000,MATCH($B872,Estimasi!$H$2:$H$1000,0)),""))</f>
        <v/>
      </c>
      <c r="D872" s="32" t="str">
        <f t="array" ref="D872">IF($C872="","",IFERROR(INDEX(Estimasi!$M$2:$M$1000,MATCH($C872,Estimasi!$L$2:$L$1000,0)),""))</f>
        <v/>
      </c>
      <c r="E872" s="32"/>
      <c r="F872" s="32" t="str">
        <f t="shared" si="4"/>
        <v/>
      </c>
      <c r="G872" s="11" t="str">
        <f t="shared" si="5"/>
        <v/>
      </c>
    </row>
    <row r="873" ht="15.75" customHeight="1">
      <c r="A873" s="52"/>
      <c r="B873" s="11"/>
      <c r="C873" s="11" t="str">
        <f t="array" ref="C873">IF($B873="","",IFERROR(INDEX(Estimasi!$I$2:$I$1000,MATCH($B873,Estimasi!$H$2:$H$1000,0)),""))</f>
        <v/>
      </c>
      <c r="D873" s="32" t="str">
        <f t="array" ref="D873">IF($C873="","",IFERROR(INDEX(Estimasi!$M$2:$M$1000,MATCH($C873,Estimasi!$L$2:$L$1000,0)),""))</f>
        <v/>
      </c>
      <c r="E873" s="32"/>
      <c r="F873" s="32" t="str">
        <f t="shared" si="4"/>
        <v/>
      </c>
      <c r="G873" s="11" t="str">
        <f t="shared" si="5"/>
        <v/>
      </c>
    </row>
    <row r="874" ht="15.75" customHeight="1">
      <c r="A874" s="52"/>
      <c r="B874" s="11"/>
      <c r="C874" s="11" t="str">
        <f t="array" ref="C874">IF($B874="","",IFERROR(INDEX(Estimasi!$I$2:$I$1000,MATCH($B874,Estimasi!$H$2:$H$1000,0)),""))</f>
        <v/>
      </c>
      <c r="D874" s="32" t="str">
        <f t="array" ref="D874">IF($C874="","",IFERROR(INDEX(Estimasi!$M$2:$M$1000,MATCH($C874,Estimasi!$L$2:$L$1000,0)),""))</f>
        <v/>
      </c>
      <c r="E874" s="32"/>
      <c r="F874" s="32" t="str">
        <f t="shared" si="4"/>
        <v/>
      </c>
      <c r="G874" s="11" t="str">
        <f t="shared" si="5"/>
        <v/>
      </c>
    </row>
    <row r="875" ht="15.75" customHeight="1">
      <c r="A875" s="52"/>
      <c r="B875" s="11"/>
      <c r="C875" s="11" t="str">
        <f t="array" ref="C875">IF($B875="","",IFERROR(INDEX(Estimasi!$I$2:$I$1000,MATCH($B875,Estimasi!$H$2:$H$1000,0)),""))</f>
        <v/>
      </c>
      <c r="D875" s="32" t="str">
        <f t="array" ref="D875">IF($C875="","",IFERROR(INDEX(Estimasi!$M$2:$M$1000,MATCH($C875,Estimasi!$L$2:$L$1000,0)),""))</f>
        <v/>
      </c>
      <c r="E875" s="32"/>
      <c r="F875" s="32" t="str">
        <f t="shared" si="4"/>
        <v/>
      </c>
      <c r="G875" s="11" t="str">
        <f t="shared" si="5"/>
        <v/>
      </c>
    </row>
    <row r="876" ht="15.75" customHeight="1">
      <c r="A876" s="52"/>
      <c r="B876" s="11"/>
      <c r="C876" s="11" t="str">
        <f t="array" ref="C876">IF($B876="","",IFERROR(INDEX(Estimasi!$I$2:$I$1000,MATCH($B876,Estimasi!$H$2:$H$1000,0)),""))</f>
        <v/>
      </c>
      <c r="D876" s="32" t="str">
        <f t="array" ref="D876">IF($C876="","",IFERROR(INDEX(Estimasi!$M$2:$M$1000,MATCH($C876,Estimasi!$L$2:$L$1000,0)),""))</f>
        <v/>
      </c>
      <c r="E876" s="32"/>
      <c r="F876" s="32" t="str">
        <f t="shared" si="4"/>
        <v/>
      </c>
      <c r="G876" s="11" t="str">
        <f t="shared" si="5"/>
        <v/>
      </c>
    </row>
    <row r="877" ht="15.75" customHeight="1">
      <c r="A877" s="52"/>
      <c r="B877" s="11"/>
      <c r="C877" s="11" t="str">
        <f t="array" ref="C877">IF($B877="","",IFERROR(INDEX(Estimasi!$I$2:$I$1000,MATCH($B877,Estimasi!$H$2:$H$1000,0)),""))</f>
        <v/>
      </c>
      <c r="D877" s="32" t="str">
        <f t="array" ref="D877">IF($C877="","",IFERROR(INDEX(Estimasi!$M$2:$M$1000,MATCH($C877,Estimasi!$L$2:$L$1000,0)),""))</f>
        <v/>
      </c>
      <c r="E877" s="32"/>
      <c r="F877" s="32" t="str">
        <f t="shared" si="4"/>
        <v/>
      </c>
      <c r="G877" s="11" t="str">
        <f t="shared" si="5"/>
        <v/>
      </c>
    </row>
    <row r="878" ht="15.75" customHeight="1">
      <c r="A878" s="52"/>
      <c r="B878" s="11"/>
      <c r="C878" s="11" t="str">
        <f t="array" ref="C878">IF($B878="","",IFERROR(INDEX(Estimasi!$I$2:$I$1000,MATCH($B878,Estimasi!$H$2:$H$1000,0)),""))</f>
        <v/>
      </c>
      <c r="D878" s="32" t="str">
        <f t="array" ref="D878">IF($C878="","",IFERROR(INDEX(Estimasi!$M$2:$M$1000,MATCH($C878,Estimasi!$L$2:$L$1000,0)),""))</f>
        <v/>
      </c>
      <c r="E878" s="32"/>
      <c r="F878" s="32" t="str">
        <f t="shared" si="4"/>
        <v/>
      </c>
      <c r="G878" s="11" t="str">
        <f t="shared" si="5"/>
        <v/>
      </c>
    </row>
    <row r="879" ht="15.75" customHeight="1">
      <c r="A879" s="52"/>
      <c r="B879" s="11"/>
      <c r="C879" s="11" t="str">
        <f t="array" ref="C879">IF($B879="","",IFERROR(INDEX(Estimasi!$I$2:$I$1000,MATCH($B879,Estimasi!$H$2:$H$1000,0)),""))</f>
        <v/>
      </c>
      <c r="D879" s="32" t="str">
        <f t="array" ref="D879">IF($C879="","",IFERROR(INDEX(Estimasi!$M$2:$M$1000,MATCH($C879,Estimasi!$L$2:$L$1000,0)),""))</f>
        <v/>
      </c>
      <c r="E879" s="32"/>
      <c r="F879" s="32" t="str">
        <f t="shared" si="4"/>
        <v/>
      </c>
      <c r="G879" s="11" t="str">
        <f t="shared" si="5"/>
        <v/>
      </c>
    </row>
    <row r="880" ht="15.75" customHeight="1">
      <c r="A880" s="52"/>
      <c r="B880" s="11"/>
      <c r="C880" s="11" t="str">
        <f t="array" ref="C880">IF($B880="","",IFERROR(INDEX(Estimasi!$I$2:$I$1000,MATCH($B880,Estimasi!$H$2:$H$1000,0)),""))</f>
        <v/>
      </c>
      <c r="D880" s="32" t="str">
        <f t="array" ref="D880">IF($C880="","",IFERROR(INDEX(Estimasi!$M$2:$M$1000,MATCH($C880,Estimasi!$L$2:$L$1000,0)),""))</f>
        <v/>
      </c>
      <c r="E880" s="32"/>
      <c r="F880" s="32" t="str">
        <f t="shared" si="4"/>
        <v/>
      </c>
      <c r="G880" s="11" t="str">
        <f t="shared" si="5"/>
        <v/>
      </c>
    </row>
    <row r="881" ht="15.75" customHeight="1">
      <c r="A881" s="52"/>
      <c r="B881" s="11"/>
      <c r="C881" s="11" t="str">
        <f t="array" ref="C881">IF($B881="","",IFERROR(INDEX(Estimasi!$I$2:$I$1000,MATCH($B881,Estimasi!$H$2:$H$1000,0)),""))</f>
        <v/>
      </c>
      <c r="D881" s="32" t="str">
        <f t="array" ref="D881">IF($C881="","",IFERROR(INDEX(Estimasi!$M$2:$M$1000,MATCH($C881,Estimasi!$L$2:$L$1000,0)),""))</f>
        <v/>
      </c>
      <c r="E881" s="32"/>
      <c r="F881" s="32" t="str">
        <f t="shared" si="4"/>
        <v/>
      </c>
      <c r="G881" s="11" t="str">
        <f t="shared" si="5"/>
        <v/>
      </c>
    </row>
    <row r="882" ht="15.75" customHeight="1">
      <c r="A882" s="52"/>
      <c r="B882" s="11"/>
      <c r="C882" s="11" t="str">
        <f t="array" ref="C882">IF($B882="","",IFERROR(INDEX(Estimasi!$I$2:$I$1000,MATCH($B882,Estimasi!$H$2:$H$1000,0)),""))</f>
        <v/>
      </c>
      <c r="D882" s="32" t="str">
        <f t="array" ref="D882">IF($C882="","",IFERROR(INDEX(Estimasi!$M$2:$M$1000,MATCH($C882,Estimasi!$L$2:$L$1000,0)),""))</f>
        <v/>
      </c>
      <c r="E882" s="32"/>
      <c r="F882" s="32" t="str">
        <f t="shared" si="4"/>
        <v/>
      </c>
      <c r="G882" s="11" t="str">
        <f t="shared" si="5"/>
        <v/>
      </c>
    </row>
    <row r="883" ht="15.75" customHeight="1">
      <c r="A883" s="52"/>
      <c r="B883" s="11"/>
      <c r="C883" s="11" t="str">
        <f t="array" ref="C883">IF($B883="","",IFERROR(INDEX(Estimasi!$I$2:$I$1000,MATCH($B883,Estimasi!$H$2:$H$1000,0)),""))</f>
        <v/>
      </c>
      <c r="D883" s="32" t="str">
        <f t="array" ref="D883">IF($C883="","",IFERROR(INDEX(Estimasi!$M$2:$M$1000,MATCH($C883,Estimasi!$L$2:$L$1000,0)),""))</f>
        <v/>
      </c>
      <c r="E883" s="32"/>
      <c r="F883" s="32" t="str">
        <f t="shared" si="4"/>
        <v/>
      </c>
      <c r="G883" s="11" t="str">
        <f t="shared" si="5"/>
        <v/>
      </c>
    </row>
    <row r="884" ht="15.75" customHeight="1">
      <c r="A884" s="52"/>
      <c r="B884" s="11"/>
      <c r="C884" s="11" t="str">
        <f t="array" ref="C884">IF($B884="","",IFERROR(INDEX(Estimasi!$I$2:$I$1000,MATCH($B884,Estimasi!$H$2:$H$1000,0)),""))</f>
        <v/>
      </c>
      <c r="D884" s="32" t="str">
        <f t="array" ref="D884">IF($C884="","",IFERROR(INDEX(Estimasi!$M$2:$M$1000,MATCH($C884,Estimasi!$L$2:$L$1000,0)),""))</f>
        <v/>
      </c>
      <c r="E884" s="32"/>
      <c r="F884" s="32" t="str">
        <f t="shared" si="4"/>
        <v/>
      </c>
      <c r="G884" s="11" t="str">
        <f t="shared" si="5"/>
        <v/>
      </c>
    </row>
    <row r="885" ht="15.75" customHeight="1">
      <c r="A885" s="52"/>
      <c r="B885" s="11"/>
      <c r="C885" s="11" t="str">
        <f t="array" ref="C885">IF($B885="","",IFERROR(INDEX(Estimasi!$I$2:$I$1000,MATCH($B885,Estimasi!$H$2:$H$1000,0)),""))</f>
        <v/>
      </c>
      <c r="D885" s="32" t="str">
        <f t="array" ref="D885">IF($C885="","",IFERROR(INDEX(Estimasi!$M$2:$M$1000,MATCH($C885,Estimasi!$L$2:$L$1000,0)),""))</f>
        <v/>
      </c>
      <c r="E885" s="32"/>
      <c r="F885" s="32" t="str">
        <f t="shared" si="4"/>
        <v/>
      </c>
      <c r="G885" s="11" t="str">
        <f t="shared" si="5"/>
        <v/>
      </c>
    </row>
    <row r="886" ht="15.75" customHeight="1">
      <c r="A886" s="52"/>
      <c r="B886" s="11"/>
      <c r="C886" s="11" t="str">
        <f t="array" ref="C886">IF($B886="","",IFERROR(INDEX(Estimasi!$I$2:$I$1000,MATCH($B886,Estimasi!$H$2:$H$1000,0)),""))</f>
        <v/>
      </c>
      <c r="D886" s="32" t="str">
        <f t="array" ref="D886">IF($C886="","",IFERROR(INDEX(Estimasi!$M$2:$M$1000,MATCH($C886,Estimasi!$L$2:$L$1000,0)),""))</f>
        <v/>
      </c>
      <c r="E886" s="32"/>
      <c r="F886" s="32" t="str">
        <f t="shared" si="4"/>
        <v/>
      </c>
      <c r="G886" s="11" t="str">
        <f t="shared" si="5"/>
        <v/>
      </c>
    </row>
    <row r="887" ht="15.75" customHeight="1">
      <c r="A887" s="52"/>
      <c r="B887" s="11"/>
      <c r="C887" s="11" t="str">
        <f t="array" ref="C887">IF($B887="","",IFERROR(INDEX(Estimasi!$I$2:$I$1000,MATCH($B887,Estimasi!$H$2:$H$1000,0)),""))</f>
        <v/>
      </c>
      <c r="D887" s="32" t="str">
        <f t="array" ref="D887">IF($C887="","",IFERROR(INDEX(Estimasi!$M$2:$M$1000,MATCH($C887,Estimasi!$L$2:$L$1000,0)),""))</f>
        <v/>
      </c>
      <c r="E887" s="32"/>
      <c r="F887" s="32" t="str">
        <f t="shared" si="4"/>
        <v/>
      </c>
      <c r="G887" s="11" t="str">
        <f t="shared" si="5"/>
        <v/>
      </c>
    </row>
    <row r="888" ht="15.75" customHeight="1">
      <c r="A888" s="52"/>
      <c r="B888" s="11"/>
      <c r="C888" s="11" t="str">
        <f t="array" ref="C888">IF($B888="","",IFERROR(INDEX(Estimasi!$I$2:$I$1000,MATCH($B888,Estimasi!$H$2:$H$1000,0)),""))</f>
        <v/>
      </c>
      <c r="D888" s="32" t="str">
        <f t="array" ref="D888">IF($C888="","",IFERROR(INDEX(Estimasi!$M$2:$M$1000,MATCH($C888,Estimasi!$L$2:$L$1000,0)),""))</f>
        <v/>
      </c>
      <c r="E888" s="32"/>
      <c r="F888" s="32" t="str">
        <f t="shared" si="4"/>
        <v/>
      </c>
      <c r="G888" s="11" t="str">
        <f t="shared" si="5"/>
        <v/>
      </c>
    </row>
    <row r="889" ht="15.75" customHeight="1">
      <c r="A889" s="52"/>
      <c r="B889" s="11"/>
      <c r="C889" s="11" t="str">
        <f t="array" ref="C889">IF($B889="","",IFERROR(INDEX(Estimasi!$I$2:$I$1000,MATCH($B889,Estimasi!$H$2:$H$1000,0)),""))</f>
        <v/>
      </c>
      <c r="D889" s="32" t="str">
        <f t="array" ref="D889">IF($C889="","",IFERROR(INDEX(Estimasi!$M$2:$M$1000,MATCH($C889,Estimasi!$L$2:$L$1000,0)),""))</f>
        <v/>
      </c>
      <c r="E889" s="32"/>
      <c r="F889" s="32" t="str">
        <f t="shared" si="4"/>
        <v/>
      </c>
      <c r="G889" s="11" t="str">
        <f t="shared" si="5"/>
        <v/>
      </c>
    </row>
    <row r="890" ht="15.75" customHeight="1">
      <c r="A890" s="52"/>
      <c r="B890" s="11"/>
      <c r="C890" s="11" t="str">
        <f t="array" ref="C890">IF($B890="","",IFERROR(INDEX(Estimasi!$I$2:$I$1000,MATCH($B890,Estimasi!$H$2:$H$1000,0)),""))</f>
        <v/>
      </c>
      <c r="D890" s="32" t="str">
        <f t="array" ref="D890">IF($C890="","",IFERROR(INDEX(Estimasi!$M$2:$M$1000,MATCH($C890,Estimasi!$L$2:$L$1000,0)),""))</f>
        <v/>
      </c>
      <c r="E890" s="32"/>
      <c r="F890" s="32" t="str">
        <f t="shared" si="4"/>
        <v/>
      </c>
      <c r="G890" s="11" t="str">
        <f t="shared" si="5"/>
        <v/>
      </c>
    </row>
    <row r="891" ht="15.75" customHeight="1">
      <c r="A891" s="52"/>
      <c r="B891" s="11"/>
      <c r="C891" s="11" t="str">
        <f t="array" ref="C891">IF($B891="","",IFERROR(INDEX(Estimasi!$I$2:$I$1000,MATCH($B891,Estimasi!$H$2:$H$1000,0)),""))</f>
        <v/>
      </c>
      <c r="D891" s="32" t="str">
        <f t="array" ref="D891">IF($C891="","",IFERROR(INDEX(Estimasi!$M$2:$M$1000,MATCH($C891,Estimasi!$L$2:$L$1000,0)),""))</f>
        <v/>
      </c>
      <c r="E891" s="32"/>
      <c r="F891" s="32" t="str">
        <f t="shared" si="4"/>
        <v/>
      </c>
      <c r="G891" s="11" t="str">
        <f t="shared" si="5"/>
        <v/>
      </c>
    </row>
    <row r="892" ht="15.75" customHeight="1">
      <c r="A892" s="52"/>
      <c r="B892" s="11"/>
      <c r="C892" s="11" t="str">
        <f t="array" ref="C892">IF($B892="","",IFERROR(INDEX(Estimasi!$I$2:$I$1000,MATCH($B892,Estimasi!$H$2:$H$1000,0)),""))</f>
        <v/>
      </c>
      <c r="D892" s="32" t="str">
        <f t="array" ref="D892">IF($C892="","",IFERROR(INDEX(Estimasi!$M$2:$M$1000,MATCH($C892,Estimasi!$L$2:$L$1000,0)),""))</f>
        <v/>
      </c>
      <c r="E892" s="32"/>
      <c r="F892" s="32" t="str">
        <f t="shared" si="4"/>
        <v/>
      </c>
      <c r="G892" s="11" t="str">
        <f t="shared" si="5"/>
        <v/>
      </c>
    </row>
    <row r="893" ht="15.75" customHeight="1">
      <c r="A893" s="52"/>
      <c r="B893" s="11"/>
      <c r="C893" s="11" t="str">
        <f t="array" ref="C893">IF($B893="","",IFERROR(INDEX(Estimasi!$I$2:$I$1000,MATCH($B893,Estimasi!$H$2:$H$1000,0)),""))</f>
        <v/>
      </c>
      <c r="D893" s="32" t="str">
        <f t="array" ref="D893">IF($C893="","",IFERROR(INDEX(Estimasi!$M$2:$M$1000,MATCH($C893,Estimasi!$L$2:$L$1000,0)),""))</f>
        <v/>
      </c>
      <c r="E893" s="32"/>
      <c r="F893" s="32" t="str">
        <f t="shared" si="4"/>
        <v/>
      </c>
      <c r="G893" s="11" t="str">
        <f t="shared" si="5"/>
        <v/>
      </c>
    </row>
    <row r="894" ht="15.75" customHeight="1">
      <c r="A894" s="52"/>
      <c r="B894" s="11"/>
      <c r="C894" s="11" t="str">
        <f t="array" ref="C894">IF($B894="","",IFERROR(INDEX(Estimasi!$I$2:$I$1000,MATCH($B894,Estimasi!$H$2:$H$1000,0)),""))</f>
        <v/>
      </c>
      <c r="D894" s="32" t="str">
        <f t="array" ref="D894">IF($C894="","",IFERROR(INDEX(Estimasi!$M$2:$M$1000,MATCH($C894,Estimasi!$L$2:$L$1000,0)),""))</f>
        <v/>
      </c>
      <c r="E894" s="32"/>
      <c r="F894" s="32" t="str">
        <f t="shared" si="4"/>
        <v/>
      </c>
      <c r="G894" s="11" t="str">
        <f t="shared" si="5"/>
        <v/>
      </c>
    </row>
    <row r="895" ht="15.75" customHeight="1">
      <c r="A895" s="52"/>
      <c r="B895" s="11"/>
      <c r="C895" s="11" t="str">
        <f t="array" ref="C895">IF($B895="","",IFERROR(INDEX(Estimasi!$I$2:$I$1000,MATCH($B895,Estimasi!$H$2:$H$1000,0)),""))</f>
        <v/>
      </c>
      <c r="D895" s="32" t="str">
        <f t="array" ref="D895">IF($C895="","",IFERROR(INDEX(Estimasi!$M$2:$M$1000,MATCH($C895,Estimasi!$L$2:$L$1000,0)),""))</f>
        <v/>
      </c>
      <c r="E895" s="32"/>
      <c r="F895" s="32" t="str">
        <f t="shared" si="4"/>
        <v/>
      </c>
      <c r="G895" s="11" t="str">
        <f t="shared" si="5"/>
        <v/>
      </c>
    </row>
    <row r="896" ht="15.75" customHeight="1">
      <c r="A896" s="52"/>
      <c r="B896" s="11"/>
      <c r="C896" s="11" t="str">
        <f t="array" ref="C896">IF($B896="","",IFERROR(INDEX(Estimasi!$I$2:$I$1000,MATCH($B896,Estimasi!$H$2:$H$1000,0)),""))</f>
        <v/>
      </c>
      <c r="D896" s="32" t="str">
        <f t="array" ref="D896">IF($C896="","",IFERROR(INDEX(Estimasi!$M$2:$M$1000,MATCH($C896,Estimasi!$L$2:$L$1000,0)),""))</f>
        <v/>
      </c>
      <c r="E896" s="32"/>
      <c r="F896" s="32" t="str">
        <f t="shared" si="4"/>
        <v/>
      </c>
      <c r="G896" s="11" t="str">
        <f t="shared" si="5"/>
        <v/>
      </c>
    </row>
    <row r="897" ht="15.75" customHeight="1">
      <c r="A897" s="52"/>
      <c r="B897" s="11"/>
      <c r="C897" s="11" t="str">
        <f t="array" ref="C897">IF($B897="","",IFERROR(INDEX(Estimasi!$I$2:$I$1000,MATCH($B897,Estimasi!$H$2:$H$1000,0)),""))</f>
        <v/>
      </c>
      <c r="D897" s="32" t="str">
        <f t="array" ref="D897">IF($C897="","",IFERROR(INDEX(Estimasi!$M$2:$M$1000,MATCH($C897,Estimasi!$L$2:$L$1000,0)),""))</f>
        <v/>
      </c>
      <c r="E897" s="32"/>
      <c r="F897" s="32" t="str">
        <f t="shared" si="4"/>
        <v/>
      </c>
      <c r="G897" s="11" t="str">
        <f t="shared" si="5"/>
        <v/>
      </c>
    </row>
    <row r="898" ht="15.75" customHeight="1">
      <c r="A898" s="52"/>
      <c r="B898" s="11"/>
      <c r="C898" s="11" t="str">
        <f t="array" ref="C898">IF($B898="","",IFERROR(INDEX(Estimasi!$I$2:$I$1000,MATCH($B898,Estimasi!$H$2:$H$1000,0)),""))</f>
        <v/>
      </c>
      <c r="D898" s="32" t="str">
        <f t="array" ref="D898">IF($C898="","",IFERROR(INDEX(Estimasi!$M$2:$M$1000,MATCH($C898,Estimasi!$L$2:$L$1000,0)),""))</f>
        <v/>
      </c>
      <c r="E898" s="32"/>
      <c r="F898" s="32" t="str">
        <f t="shared" si="4"/>
        <v/>
      </c>
      <c r="G898" s="11" t="str">
        <f t="shared" si="5"/>
        <v/>
      </c>
    </row>
    <row r="899" ht="15.75" customHeight="1">
      <c r="A899" s="52"/>
      <c r="B899" s="11"/>
      <c r="C899" s="11" t="str">
        <f t="array" ref="C899">IF($B899="","",IFERROR(INDEX(Estimasi!$I$2:$I$1000,MATCH($B899,Estimasi!$H$2:$H$1000,0)),""))</f>
        <v/>
      </c>
      <c r="D899" s="32" t="str">
        <f t="array" ref="D899">IF($C899="","",IFERROR(INDEX(Estimasi!$M$2:$M$1000,MATCH($C899,Estimasi!$L$2:$L$1000,0)),""))</f>
        <v/>
      </c>
      <c r="E899" s="32"/>
      <c r="F899" s="32" t="str">
        <f t="shared" si="4"/>
        <v/>
      </c>
      <c r="G899" s="11" t="str">
        <f t="shared" si="5"/>
        <v/>
      </c>
    </row>
    <row r="900" ht="15.75" customHeight="1">
      <c r="A900" s="52"/>
      <c r="B900" s="11"/>
      <c r="C900" s="11" t="str">
        <f t="array" ref="C900">IF($B900="","",IFERROR(INDEX(Estimasi!$I$2:$I$1000,MATCH($B900,Estimasi!$H$2:$H$1000,0)),""))</f>
        <v/>
      </c>
      <c r="D900" s="32" t="str">
        <f t="array" ref="D900">IF($C900="","",IFERROR(INDEX(Estimasi!$M$2:$M$1000,MATCH($C900,Estimasi!$L$2:$L$1000,0)),""))</f>
        <v/>
      </c>
      <c r="E900" s="32"/>
      <c r="F900" s="32" t="str">
        <f t="shared" si="4"/>
        <v/>
      </c>
      <c r="G900" s="11" t="str">
        <f t="shared" si="5"/>
        <v/>
      </c>
    </row>
    <row r="901" ht="15.75" customHeight="1">
      <c r="A901" s="52"/>
      <c r="B901" s="11"/>
      <c r="C901" s="11" t="str">
        <f t="array" ref="C901">IF($B901="","",IFERROR(INDEX(Estimasi!$I$2:$I$1000,MATCH($B901,Estimasi!$H$2:$H$1000,0)),""))</f>
        <v/>
      </c>
      <c r="D901" s="32" t="str">
        <f t="array" ref="D901">IF($C901="","",IFERROR(INDEX(Estimasi!$M$2:$M$1000,MATCH($C901,Estimasi!$L$2:$L$1000,0)),""))</f>
        <v/>
      </c>
      <c r="E901" s="32"/>
      <c r="F901" s="32" t="str">
        <f t="shared" si="4"/>
        <v/>
      </c>
      <c r="G901" s="11" t="str">
        <f t="shared" si="5"/>
        <v/>
      </c>
    </row>
    <row r="902" ht="15.75" customHeight="1">
      <c r="A902" s="52"/>
      <c r="B902" s="11"/>
      <c r="C902" s="11" t="str">
        <f t="array" ref="C902">IF($B902="","",IFERROR(INDEX(Estimasi!$I$2:$I$1000,MATCH($B902,Estimasi!$H$2:$H$1000,0)),""))</f>
        <v/>
      </c>
      <c r="D902" s="32" t="str">
        <f t="array" ref="D902">IF($C902="","",IFERROR(INDEX(Estimasi!$M$2:$M$1000,MATCH($C902,Estimasi!$L$2:$L$1000,0)),""))</f>
        <v/>
      </c>
      <c r="E902" s="32"/>
      <c r="F902" s="32" t="str">
        <f t="shared" si="4"/>
        <v/>
      </c>
      <c r="G902" s="11" t="str">
        <f t="shared" si="5"/>
        <v/>
      </c>
    </row>
    <row r="903" ht="15.75" customHeight="1">
      <c r="A903" s="52"/>
      <c r="B903" s="11"/>
      <c r="C903" s="11" t="str">
        <f t="array" ref="C903">IF($B903="","",IFERROR(INDEX(Estimasi!$I$2:$I$1000,MATCH($B903,Estimasi!$H$2:$H$1000,0)),""))</f>
        <v/>
      </c>
      <c r="D903" s="32" t="str">
        <f t="array" ref="D903">IF($C903="","",IFERROR(INDEX(Estimasi!$M$2:$M$1000,MATCH($C903,Estimasi!$L$2:$L$1000,0)),""))</f>
        <v/>
      </c>
      <c r="E903" s="32"/>
      <c r="F903" s="32" t="str">
        <f t="shared" si="4"/>
        <v/>
      </c>
      <c r="G903" s="11" t="str">
        <f t="shared" si="5"/>
        <v/>
      </c>
    </row>
    <row r="904" ht="15.75" customHeight="1">
      <c r="A904" s="52"/>
      <c r="B904" s="11"/>
      <c r="C904" s="11" t="str">
        <f t="array" ref="C904">IF($B904="","",IFERROR(INDEX(Estimasi!$I$2:$I$1000,MATCH($B904,Estimasi!$H$2:$H$1000,0)),""))</f>
        <v/>
      </c>
      <c r="D904" s="32" t="str">
        <f t="array" ref="D904">IF($C904="","",IFERROR(INDEX(Estimasi!$M$2:$M$1000,MATCH($C904,Estimasi!$L$2:$L$1000,0)),""))</f>
        <v/>
      </c>
      <c r="E904" s="32"/>
      <c r="F904" s="32" t="str">
        <f t="shared" si="4"/>
        <v/>
      </c>
      <c r="G904" s="11" t="str">
        <f t="shared" si="5"/>
        <v/>
      </c>
    </row>
    <row r="905" ht="15.75" customHeight="1">
      <c r="A905" s="52"/>
      <c r="B905" s="11"/>
      <c r="C905" s="11" t="str">
        <f t="array" ref="C905">IF($B905="","",IFERROR(INDEX(Estimasi!$I$2:$I$1000,MATCH($B905,Estimasi!$H$2:$H$1000,0)),""))</f>
        <v/>
      </c>
      <c r="D905" s="32" t="str">
        <f t="array" ref="D905">IF($C905="","",IFERROR(INDEX(Estimasi!$M$2:$M$1000,MATCH($C905,Estimasi!$L$2:$L$1000,0)),""))</f>
        <v/>
      </c>
      <c r="E905" s="32"/>
      <c r="F905" s="32" t="str">
        <f t="shared" si="4"/>
        <v/>
      </c>
      <c r="G905" s="11" t="str">
        <f t="shared" si="5"/>
        <v/>
      </c>
    </row>
    <row r="906" ht="15.75" customHeight="1">
      <c r="A906" s="52"/>
      <c r="B906" s="11"/>
      <c r="C906" s="11" t="str">
        <f t="array" ref="C906">IF($B906="","",IFERROR(INDEX(Estimasi!$I$2:$I$1000,MATCH($B906,Estimasi!$H$2:$H$1000,0)),""))</f>
        <v/>
      </c>
      <c r="D906" s="32" t="str">
        <f t="array" ref="D906">IF($C906="","",IFERROR(INDEX(Estimasi!$M$2:$M$1000,MATCH($C906,Estimasi!$L$2:$L$1000,0)),""))</f>
        <v/>
      </c>
      <c r="E906" s="32"/>
      <c r="F906" s="32" t="str">
        <f t="shared" si="4"/>
        <v/>
      </c>
      <c r="G906" s="11" t="str">
        <f t="shared" si="5"/>
        <v/>
      </c>
    </row>
    <row r="907" ht="15.75" customHeight="1">
      <c r="A907" s="52"/>
      <c r="B907" s="11"/>
      <c r="C907" s="11" t="str">
        <f t="array" ref="C907">IF($B907="","",IFERROR(INDEX(Estimasi!$I$2:$I$1000,MATCH($B907,Estimasi!$H$2:$H$1000,0)),""))</f>
        <v/>
      </c>
      <c r="D907" s="32" t="str">
        <f t="array" ref="D907">IF($C907="","",IFERROR(INDEX(Estimasi!$M$2:$M$1000,MATCH($C907,Estimasi!$L$2:$L$1000,0)),""))</f>
        <v/>
      </c>
      <c r="E907" s="32"/>
      <c r="F907" s="32" t="str">
        <f t="shared" si="4"/>
        <v/>
      </c>
      <c r="G907" s="11" t="str">
        <f t="shared" si="5"/>
        <v/>
      </c>
    </row>
    <row r="908" ht="15.75" customHeight="1">
      <c r="A908" s="52"/>
      <c r="B908" s="11"/>
      <c r="C908" s="11" t="str">
        <f t="array" ref="C908">IF($B908="","",IFERROR(INDEX(Estimasi!$I$2:$I$1000,MATCH($B908,Estimasi!$H$2:$H$1000,0)),""))</f>
        <v/>
      </c>
      <c r="D908" s="32" t="str">
        <f t="array" ref="D908">IF($C908="","",IFERROR(INDEX(Estimasi!$M$2:$M$1000,MATCH($C908,Estimasi!$L$2:$L$1000,0)),""))</f>
        <v/>
      </c>
      <c r="E908" s="32"/>
      <c r="F908" s="32" t="str">
        <f t="shared" si="4"/>
        <v/>
      </c>
      <c r="G908" s="11" t="str">
        <f t="shared" si="5"/>
        <v/>
      </c>
    </row>
    <row r="909" ht="15.75" customHeight="1">
      <c r="A909" s="52"/>
      <c r="B909" s="11"/>
      <c r="C909" s="11" t="str">
        <f t="array" ref="C909">IF($B909="","",IFERROR(INDEX(Estimasi!$I$2:$I$1000,MATCH($B909,Estimasi!$H$2:$H$1000,0)),""))</f>
        <v/>
      </c>
      <c r="D909" s="32" t="str">
        <f t="array" ref="D909">IF($C909="","",IFERROR(INDEX(Estimasi!$M$2:$M$1000,MATCH($C909,Estimasi!$L$2:$L$1000,0)),""))</f>
        <v/>
      </c>
      <c r="E909" s="32"/>
      <c r="F909" s="32" t="str">
        <f t="shared" si="4"/>
        <v/>
      </c>
      <c r="G909" s="11" t="str">
        <f t="shared" si="5"/>
        <v/>
      </c>
    </row>
    <row r="910" ht="15.75" customHeight="1">
      <c r="A910" s="52"/>
      <c r="B910" s="11"/>
      <c r="C910" s="11" t="str">
        <f t="array" ref="C910">IF($B910="","",IFERROR(INDEX(Estimasi!$I$2:$I$1000,MATCH($B910,Estimasi!$H$2:$H$1000,0)),""))</f>
        <v/>
      </c>
      <c r="D910" s="32" t="str">
        <f t="array" ref="D910">IF($C910="","",IFERROR(INDEX(Estimasi!$M$2:$M$1000,MATCH($C910,Estimasi!$L$2:$L$1000,0)),""))</f>
        <v/>
      </c>
      <c r="E910" s="32"/>
      <c r="F910" s="32" t="str">
        <f t="shared" si="4"/>
        <v/>
      </c>
      <c r="G910" s="11" t="str">
        <f t="shared" si="5"/>
        <v/>
      </c>
    </row>
    <row r="911" ht="15.75" customHeight="1">
      <c r="A911" s="52"/>
      <c r="B911" s="11"/>
      <c r="C911" s="11" t="str">
        <f t="array" ref="C911">IF($B911="","",IFERROR(INDEX(Estimasi!$I$2:$I$1000,MATCH($B911,Estimasi!$H$2:$H$1000,0)),""))</f>
        <v/>
      </c>
      <c r="D911" s="32" t="str">
        <f t="array" ref="D911">IF($C911="","",IFERROR(INDEX(Estimasi!$M$2:$M$1000,MATCH($C911,Estimasi!$L$2:$L$1000,0)),""))</f>
        <v/>
      </c>
      <c r="E911" s="32"/>
      <c r="F911" s="32" t="str">
        <f t="shared" si="4"/>
        <v/>
      </c>
      <c r="G911" s="11" t="str">
        <f t="shared" si="5"/>
        <v/>
      </c>
    </row>
    <row r="912" ht="15.75" customHeight="1">
      <c r="A912" s="52"/>
      <c r="B912" s="11"/>
      <c r="C912" s="11" t="str">
        <f t="array" ref="C912">IF($B912="","",IFERROR(INDEX(Estimasi!$I$2:$I$1000,MATCH($B912,Estimasi!$H$2:$H$1000,0)),""))</f>
        <v/>
      </c>
      <c r="D912" s="32" t="str">
        <f t="array" ref="D912">IF($C912="","",IFERROR(INDEX(Estimasi!$M$2:$M$1000,MATCH($C912,Estimasi!$L$2:$L$1000,0)),""))</f>
        <v/>
      </c>
      <c r="E912" s="32"/>
      <c r="F912" s="32" t="str">
        <f t="shared" si="4"/>
        <v/>
      </c>
      <c r="G912" s="11" t="str">
        <f t="shared" si="5"/>
        <v/>
      </c>
    </row>
    <row r="913" ht="15.75" customHeight="1">
      <c r="A913" s="52"/>
      <c r="B913" s="11"/>
      <c r="C913" s="11" t="str">
        <f t="array" ref="C913">IF($B913="","",IFERROR(INDEX(Estimasi!$I$2:$I$1000,MATCH($B913,Estimasi!$H$2:$H$1000,0)),""))</f>
        <v/>
      </c>
      <c r="D913" s="32" t="str">
        <f t="array" ref="D913">IF($C913="","",IFERROR(INDEX(Estimasi!$M$2:$M$1000,MATCH($C913,Estimasi!$L$2:$L$1000,0)),""))</f>
        <v/>
      </c>
      <c r="E913" s="32"/>
      <c r="F913" s="32" t="str">
        <f t="shared" si="4"/>
        <v/>
      </c>
      <c r="G913" s="11" t="str">
        <f t="shared" si="5"/>
        <v/>
      </c>
    </row>
    <row r="914" ht="15.75" customHeight="1">
      <c r="A914" s="52"/>
      <c r="B914" s="11"/>
      <c r="C914" s="11" t="str">
        <f t="array" ref="C914">IF($B914="","",IFERROR(INDEX(Estimasi!$I$2:$I$1000,MATCH($B914,Estimasi!$H$2:$H$1000,0)),""))</f>
        <v/>
      </c>
      <c r="D914" s="32" t="str">
        <f t="array" ref="D914">IF($C914="","",IFERROR(INDEX(Estimasi!$M$2:$M$1000,MATCH($C914,Estimasi!$L$2:$L$1000,0)),""))</f>
        <v/>
      </c>
      <c r="E914" s="32"/>
      <c r="F914" s="32" t="str">
        <f t="shared" si="4"/>
        <v/>
      </c>
      <c r="G914" s="11" t="str">
        <f t="shared" si="5"/>
        <v/>
      </c>
    </row>
    <row r="915" ht="15.75" customHeight="1">
      <c r="A915" s="52"/>
      <c r="B915" s="11"/>
      <c r="C915" s="11" t="str">
        <f t="array" ref="C915">IF($B915="","",IFERROR(INDEX(Estimasi!$I$2:$I$1000,MATCH($B915,Estimasi!$H$2:$H$1000,0)),""))</f>
        <v/>
      </c>
      <c r="D915" s="32" t="str">
        <f t="array" ref="D915">IF($C915="","",IFERROR(INDEX(Estimasi!$M$2:$M$1000,MATCH($C915,Estimasi!$L$2:$L$1000,0)),""))</f>
        <v/>
      </c>
      <c r="E915" s="32"/>
      <c r="F915" s="32" t="str">
        <f t="shared" si="4"/>
        <v/>
      </c>
      <c r="G915" s="11" t="str">
        <f t="shared" si="5"/>
        <v/>
      </c>
    </row>
    <row r="916" ht="15.75" customHeight="1">
      <c r="A916" s="52"/>
      <c r="B916" s="11"/>
      <c r="C916" s="11" t="str">
        <f t="array" ref="C916">IF($B916="","",IFERROR(INDEX(Estimasi!$I$2:$I$1000,MATCH($B916,Estimasi!$H$2:$H$1000,0)),""))</f>
        <v/>
      </c>
      <c r="D916" s="32" t="str">
        <f t="array" ref="D916">IF($C916="","",IFERROR(INDEX(Estimasi!$M$2:$M$1000,MATCH($C916,Estimasi!$L$2:$L$1000,0)),""))</f>
        <v/>
      </c>
      <c r="E916" s="32"/>
      <c r="F916" s="32" t="str">
        <f t="shared" si="4"/>
        <v/>
      </c>
      <c r="G916" s="11" t="str">
        <f t="shared" si="5"/>
        <v/>
      </c>
    </row>
    <row r="917" ht="15.75" customHeight="1">
      <c r="A917" s="52"/>
      <c r="B917" s="11"/>
      <c r="C917" s="11" t="str">
        <f t="array" ref="C917">IF($B917="","",IFERROR(INDEX(Estimasi!$I$2:$I$1000,MATCH($B917,Estimasi!$H$2:$H$1000,0)),""))</f>
        <v/>
      </c>
      <c r="D917" s="32" t="str">
        <f t="array" ref="D917">IF($C917="","",IFERROR(INDEX(Estimasi!$M$2:$M$1000,MATCH($C917,Estimasi!$L$2:$L$1000,0)),""))</f>
        <v/>
      </c>
      <c r="E917" s="32"/>
      <c r="F917" s="32" t="str">
        <f t="shared" si="4"/>
        <v/>
      </c>
      <c r="G917" s="11" t="str">
        <f t="shared" si="5"/>
        <v/>
      </c>
    </row>
    <row r="918" ht="15.75" customHeight="1">
      <c r="A918" s="52"/>
      <c r="B918" s="11"/>
      <c r="C918" s="11" t="str">
        <f t="array" ref="C918">IF($B918="","",IFERROR(INDEX(Estimasi!$I$2:$I$1000,MATCH($B918,Estimasi!$H$2:$H$1000,0)),""))</f>
        <v/>
      </c>
      <c r="D918" s="32" t="str">
        <f t="array" ref="D918">IF($C918="","",IFERROR(INDEX(Estimasi!$M$2:$M$1000,MATCH($C918,Estimasi!$L$2:$L$1000,0)),""))</f>
        <v/>
      </c>
      <c r="E918" s="32"/>
      <c r="F918" s="32" t="str">
        <f t="shared" si="4"/>
        <v/>
      </c>
      <c r="G918" s="11" t="str">
        <f t="shared" si="5"/>
        <v/>
      </c>
    </row>
    <row r="919" ht="15.75" customHeight="1">
      <c r="A919" s="52"/>
      <c r="B919" s="11"/>
      <c r="C919" s="11" t="str">
        <f t="array" ref="C919">IF($B919="","",IFERROR(INDEX(Estimasi!$I$2:$I$1000,MATCH($B919,Estimasi!$H$2:$H$1000,0)),""))</f>
        <v/>
      </c>
      <c r="D919" s="32" t="str">
        <f t="array" ref="D919">IF($C919="","",IFERROR(INDEX(Estimasi!$M$2:$M$1000,MATCH($C919,Estimasi!$L$2:$L$1000,0)),""))</f>
        <v/>
      </c>
      <c r="E919" s="32"/>
      <c r="F919" s="32" t="str">
        <f t="shared" si="4"/>
        <v/>
      </c>
      <c r="G919" s="11" t="str">
        <f t="shared" si="5"/>
        <v/>
      </c>
    </row>
    <row r="920" ht="15.75" customHeight="1">
      <c r="A920" s="52"/>
      <c r="B920" s="11"/>
      <c r="C920" s="11" t="str">
        <f t="array" ref="C920">IF($B920="","",IFERROR(INDEX(Estimasi!$I$2:$I$1000,MATCH($B920,Estimasi!$H$2:$H$1000,0)),""))</f>
        <v/>
      </c>
      <c r="D920" s="32" t="str">
        <f t="array" ref="D920">IF($C920="","",IFERROR(INDEX(Estimasi!$M$2:$M$1000,MATCH($C920,Estimasi!$L$2:$L$1000,0)),""))</f>
        <v/>
      </c>
      <c r="E920" s="32"/>
      <c r="F920" s="32" t="str">
        <f t="shared" si="4"/>
        <v/>
      </c>
      <c r="G920" s="11" t="str">
        <f t="shared" si="5"/>
        <v/>
      </c>
    </row>
    <row r="921" ht="15.75" customHeight="1">
      <c r="A921" s="52"/>
      <c r="B921" s="11"/>
      <c r="C921" s="11" t="str">
        <f t="array" ref="C921">IF($B921="","",IFERROR(INDEX(Estimasi!$I$2:$I$1000,MATCH($B921,Estimasi!$H$2:$H$1000,0)),""))</f>
        <v/>
      </c>
      <c r="D921" s="32" t="str">
        <f t="array" ref="D921">IF($C921="","",IFERROR(INDEX(Estimasi!$M$2:$M$1000,MATCH($C921,Estimasi!$L$2:$L$1000,0)),""))</f>
        <v/>
      </c>
      <c r="E921" s="32"/>
      <c r="F921" s="32" t="str">
        <f t="shared" si="4"/>
        <v/>
      </c>
      <c r="G921" s="11" t="str">
        <f t="shared" si="5"/>
        <v/>
      </c>
    </row>
    <row r="922" ht="15.75" customHeight="1">
      <c r="A922" s="52"/>
      <c r="B922" s="11"/>
      <c r="C922" s="11" t="str">
        <f t="array" ref="C922">IF($B922="","",IFERROR(INDEX(Estimasi!$I$2:$I$1000,MATCH($B922,Estimasi!$H$2:$H$1000,0)),""))</f>
        <v/>
      </c>
      <c r="D922" s="32" t="str">
        <f t="array" ref="D922">IF($C922="","",IFERROR(INDEX(Estimasi!$M$2:$M$1000,MATCH($C922,Estimasi!$L$2:$L$1000,0)),""))</f>
        <v/>
      </c>
      <c r="E922" s="32"/>
      <c r="F922" s="32" t="str">
        <f t="shared" si="4"/>
        <v/>
      </c>
      <c r="G922" s="11" t="str">
        <f t="shared" si="5"/>
        <v/>
      </c>
    </row>
    <row r="923" ht="15.75" customHeight="1">
      <c r="A923" s="52"/>
      <c r="B923" s="11"/>
      <c r="C923" s="11" t="str">
        <f t="array" ref="C923">IF($B923="","",IFERROR(INDEX(Estimasi!$I$2:$I$1000,MATCH($B923,Estimasi!$H$2:$H$1000,0)),""))</f>
        <v/>
      </c>
      <c r="D923" s="32" t="str">
        <f t="array" ref="D923">IF($C923="","",IFERROR(INDEX(Estimasi!$M$2:$M$1000,MATCH($C923,Estimasi!$L$2:$L$1000,0)),""))</f>
        <v/>
      </c>
      <c r="E923" s="32"/>
      <c r="F923" s="32" t="str">
        <f t="shared" si="4"/>
        <v/>
      </c>
      <c r="G923" s="11" t="str">
        <f t="shared" si="5"/>
        <v/>
      </c>
    </row>
    <row r="924" ht="15.75" customHeight="1">
      <c r="A924" s="52"/>
      <c r="B924" s="11"/>
      <c r="C924" s="11" t="str">
        <f t="array" ref="C924">IF($B924="","",IFERROR(INDEX(Estimasi!$I$2:$I$1000,MATCH($B924,Estimasi!$H$2:$H$1000,0)),""))</f>
        <v/>
      </c>
      <c r="D924" s="32" t="str">
        <f t="array" ref="D924">IF($C924="","",IFERROR(INDEX(Estimasi!$M$2:$M$1000,MATCH($C924,Estimasi!$L$2:$L$1000,0)),""))</f>
        <v/>
      </c>
      <c r="E924" s="32"/>
      <c r="F924" s="32" t="str">
        <f t="shared" si="4"/>
        <v/>
      </c>
      <c r="G924" s="11" t="str">
        <f t="shared" si="5"/>
        <v/>
      </c>
    </row>
    <row r="925" ht="15.75" customHeight="1">
      <c r="A925" s="52"/>
      <c r="B925" s="11"/>
      <c r="C925" s="11" t="str">
        <f t="array" ref="C925">IF($B925="","",IFERROR(INDEX(Estimasi!$I$2:$I$1000,MATCH($B925,Estimasi!$H$2:$H$1000,0)),""))</f>
        <v/>
      </c>
      <c r="D925" s="32" t="str">
        <f t="array" ref="D925">IF($C925="","",IFERROR(INDEX(Estimasi!$M$2:$M$1000,MATCH($C925,Estimasi!$L$2:$L$1000,0)),""))</f>
        <v/>
      </c>
      <c r="E925" s="32"/>
      <c r="F925" s="32" t="str">
        <f t="shared" si="4"/>
        <v/>
      </c>
      <c r="G925" s="11" t="str">
        <f t="shared" si="5"/>
        <v/>
      </c>
    </row>
    <row r="926" ht="15.75" customHeight="1">
      <c r="A926" s="52"/>
      <c r="B926" s="11"/>
      <c r="C926" s="11" t="str">
        <f t="array" ref="C926">IF($B926="","",IFERROR(INDEX(Estimasi!$I$2:$I$1000,MATCH($B926,Estimasi!$H$2:$H$1000,0)),""))</f>
        <v/>
      </c>
      <c r="D926" s="32" t="str">
        <f t="array" ref="D926">IF($C926="","",IFERROR(INDEX(Estimasi!$M$2:$M$1000,MATCH($C926,Estimasi!$L$2:$L$1000,0)),""))</f>
        <v/>
      </c>
      <c r="E926" s="32"/>
      <c r="F926" s="32" t="str">
        <f t="shared" si="4"/>
        <v/>
      </c>
      <c r="G926" s="11" t="str">
        <f t="shared" si="5"/>
        <v/>
      </c>
    </row>
    <row r="927" ht="15.75" customHeight="1">
      <c r="A927" s="52"/>
      <c r="B927" s="11"/>
      <c r="C927" s="11" t="str">
        <f t="array" ref="C927">IF($B927="","",IFERROR(INDEX(Estimasi!$I$2:$I$1000,MATCH($B927,Estimasi!$H$2:$H$1000,0)),""))</f>
        <v/>
      </c>
      <c r="D927" s="32" t="str">
        <f t="array" ref="D927">IF($C927="","",IFERROR(INDEX(Estimasi!$M$2:$M$1000,MATCH($C927,Estimasi!$L$2:$L$1000,0)),""))</f>
        <v/>
      </c>
      <c r="E927" s="32"/>
      <c r="F927" s="32" t="str">
        <f t="shared" si="4"/>
        <v/>
      </c>
      <c r="G927" s="11" t="str">
        <f t="shared" si="5"/>
        <v/>
      </c>
    </row>
    <row r="928" ht="15.75" customHeight="1">
      <c r="A928" s="52"/>
      <c r="B928" s="11"/>
      <c r="C928" s="11" t="str">
        <f t="array" ref="C928">IF($B928="","",IFERROR(INDEX(Estimasi!$I$2:$I$1000,MATCH($B928,Estimasi!$H$2:$H$1000,0)),""))</f>
        <v/>
      </c>
      <c r="D928" s="32" t="str">
        <f t="array" ref="D928">IF($C928="","",IFERROR(INDEX(Estimasi!$M$2:$M$1000,MATCH($C928,Estimasi!$L$2:$L$1000,0)),""))</f>
        <v/>
      </c>
      <c r="E928" s="32"/>
      <c r="F928" s="32" t="str">
        <f t="shared" si="4"/>
        <v/>
      </c>
      <c r="G928" s="11" t="str">
        <f t="shared" si="5"/>
        <v/>
      </c>
    </row>
    <row r="929" ht="15.75" customHeight="1">
      <c r="A929" s="52"/>
      <c r="B929" s="11"/>
      <c r="C929" s="11" t="str">
        <f t="array" ref="C929">IF($B929="","",IFERROR(INDEX(Estimasi!$I$2:$I$1000,MATCH($B929,Estimasi!$H$2:$H$1000,0)),""))</f>
        <v/>
      </c>
      <c r="D929" s="32" t="str">
        <f t="array" ref="D929">IF($C929="","",IFERROR(INDEX(Estimasi!$M$2:$M$1000,MATCH($C929,Estimasi!$L$2:$L$1000,0)),""))</f>
        <v/>
      </c>
      <c r="E929" s="32"/>
      <c r="F929" s="32" t="str">
        <f t="shared" si="4"/>
        <v/>
      </c>
      <c r="G929" s="11" t="str">
        <f t="shared" si="5"/>
        <v/>
      </c>
    </row>
    <row r="930" ht="15.75" customHeight="1">
      <c r="A930" s="52"/>
      <c r="B930" s="11"/>
      <c r="C930" s="11" t="str">
        <f t="array" ref="C930">IF($B930="","",IFERROR(INDEX(Estimasi!$I$2:$I$1000,MATCH($B930,Estimasi!$H$2:$H$1000,0)),""))</f>
        <v/>
      </c>
      <c r="D930" s="32" t="str">
        <f t="array" ref="D930">IF($C930="","",IFERROR(INDEX(Estimasi!$M$2:$M$1000,MATCH($C930,Estimasi!$L$2:$L$1000,0)),""))</f>
        <v/>
      </c>
      <c r="E930" s="32"/>
      <c r="F930" s="32" t="str">
        <f t="shared" si="4"/>
        <v/>
      </c>
      <c r="G930" s="11" t="str">
        <f t="shared" si="5"/>
        <v/>
      </c>
    </row>
    <row r="931" ht="15.75" customHeight="1">
      <c r="A931" s="52"/>
      <c r="B931" s="11"/>
      <c r="C931" s="11" t="str">
        <f t="array" ref="C931">IF($B931="","",IFERROR(INDEX(Estimasi!$I$2:$I$1000,MATCH($B931,Estimasi!$H$2:$H$1000,0)),""))</f>
        <v/>
      </c>
      <c r="D931" s="32" t="str">
        <f t="array" ref="D931">IF($C931="","",IFERROR(INDEX(Estimasi!$M$2:$M$1000,MATCH($C931,Estimasi!$L$2:$L$1000,0)),""))</f>
        <v/>
      </c>
      <c r="E931" s="32"/>
      <c r="F931" s="32" t="str">
        <f t="shared" si="4"/>
        <v/>
      </c>
      <c r="G931" s="11" t="str">
        <f t="shared" si="5"/>
        <v/>
      </c>
    </row>
    <row r="932" ht="15.75" customHeight="1">
      <c r="A932" s="52"/>
      <c r="B932" s="11"/>
      <c r="C932" s="11" t="str">
        <f t="array" ref="C932">IF($B932="","",IFERROR(INDEX(Estimasi!$I$2:$I$1000,MATCH($B932,Estimasi!$H$2:$H$1000,0)),""))</f>
        <v/>
      </c>
      <c r="D932" s="32" t="str">
        <f t="array" ref="D932">IF($C932="","",IFERROR(INDEX(Estimasi!$M$2:$M$1000,MATCH($C932,Estimasi!$L$2:$L$1000,0)),""))</f>
        <v/>
      </c>
      <c r="E932" s="32"/>
      <c r="F932" s="32" t="str">
        <f t="shared" si="4"/>
        <v/>
      </c>
      <c r="G932" s="11" t="str">
        <f t="shared" si="5"/>
        <v/>
      </c>
    </row>
    <row r="933" ht="15.75" customHeight="1">
      <c r="A933" s="52"/>
      <c r="B933" s="11"/>
      <c r="C933" s="11" t="str">
        <f t="array" ref="C933">IF($B933="","",IFERROR(INDEX(Estimasi!$I$2:$I$1000,MATCH($B933,Estimasi!$H$2:$H$1000,0)),""))</f>
        <v/>
      </c>
      <c r="D933" s="32" t="str">
        <f t="array" ref="D933">IF($C933="","",IFERROR(INDEX(Estimasi!$M$2:$M$1000,MATCH($C933,Estimasi!$L$2:$L$1000,0)),""))</f>
        <v/>
      </c>
      <c r="E933" s="32"/>
      <c r="F933" s="32" t="str">
        <f t="shared" si="4"/>
        <v/>
      </c>
      <c r="G933" s="11" t="str">
        <f t="shared" si="5"/>
        <v/>
      </c>
    </row>
    <row r="934" ht="15.75" customHeight="1">
      <c r="A934" s="52"/>
      <c r="B934" s="11"/>
      <c r="C934" s="11" t="str">
        <f t="array" ref="C934">IF($B934="","",IFERROR(INDEX(Estimasi!$I$2:$I$1000,MATCH($B934,Estimasi!$H$2:$H$1000,0)),""))</f>
        <v/>
      </c>
      <c r="D934" s="32" t="str">
        <f t="array" ref="D934">IF($C934="","",IFERROR(INDEX(Estimasi!$M$2:$M$1000,MATCH($C934,Estimasi!$L$2:$L$1000,0)),""))</f>
        <v/>
      </c>
      <c r="E934" s="32"/>
      <c r="F934" s="32" t="str">
        <f t="shared" si="4"/>
        <v/>
      </c>
      <c r="G934" s="11" t="str">
        <f t="shared" si="5"/>
        <v/>
      </c>
    </row>
    <row r="935" ht="15.75" customHeight="1">
      <c r="A935" s="52"/>
      <c r="B935" s="11"/>
      <c r="C935" s="11" t="str">
        <f t="array" ref="C935">IF($B935="","",IFERROR(INDEX(Estimasi!$I$2:$I$1000,MATCH($B935,Estimasi!$H$2:$H$1000,0)),""))</f>
        <v/>
      </c>
      <c r="D935" s="32" t="str">
        <f t="array" ref="D935">IF($C935="","",IFERROR(INDEX(Estimasi!$M$2:$M$1000,MATCH($C935,Estimasi!$L$2:$L$1000,0)),""))</f>
        <v/>
      </c>
      <c r="E935" s="32"/>
      <c r="F935" s="32" t="str">
        <f t="shared" si="4"/>
        <v/>
      </c>
      <c r="G935" s="11" t="str">
        <f t="shared" si="5"/>
        <v/>
      </c>
    </row>
    <row r="936" ht="15.75" customHeight="1">
      <c r="A936" s="52"/>
      <c r="B936" s="11"/>
      <c r="C936" s="11" t="str">
        <f t="array" ref="C936">IF($B936="","",IFERROR(INDEX(Estimasi!$I$2:$I$1000,MATCH($B936,Estimasi!$H$2:$H$1000,0)),""))</f>
        <v/>
      </c>
      <c r="D936" s="32" t="str">
        <f t="array" ref="D936">IF($C936="","",IFERROR(INDEX(Estimasi!$M$2:$M$1000,MATCH($C936,Estimasi!$L$2:$L$1000,0)),""))</f>
        <v/>
      </c>
      <c r="E936" s="32"/>
      <c r="F936" s="32" t="str">
        <f t="shared" si="4"/>
        <v/>
      </c>
      <c r="G936" s="11" t="str">
        <f t="shared" si="5"/>
        <v/>
      </c>
    </row>
    <row r="937" ht="15.75" customHeight="1">
      <c r="A937" s="52"/>
      <c r="B937" s="11"/>
      <c r="C937" s="11" t="str">
        <f t="array" ref="C937">IF($B937="","",IFERROR(INDEX(Estimasi!$I$2:$I$1000,MATCH($B937,Estimasi!$H$2:$H$1000,0)),""))</f>
        <v/>
      </c>
      <c r="D937" s="32" t="str">
        <f t="array" ref="D937">IF($C937="","",IFERROR(INDEX(Estimasi!$M$2:$M$1000,MATCH($C937,Estimasi!$L$2:$L$1000,0)),""))</f>
        <v/>
      </c>
      <c r="E937" s="32"/>
      <c r="F937" s="32" t="str">
        <f t="shared" si="4"/>
        <v/>
      </c>
      <c r="G937" s="11" t="str">
        <f t="shared" si="5"/>
        <v/>
      </c>
    </row>
    <row r="938" ht="15.75" customHeight="1">
      <c r="A938" s="52"/>
      <c r="B938" s="11"/>
      <c r="C938" s="11" t="str">
        <f t="array" ref="C938">IF($B938="","",IFERROR(INDEX(Estimasi!$I$2:$I$1000,MATCH($B938,Estimasi!$H$2:$H$1000,0)),""))</f>
        <v/>
      </c>
      <c r="D938" s="32" t="str">
        <f t="array" ref="D938">IF($C938="","",IFERROR(INDEX(Estimasi!$M$2:$M$1000,MATCH($C938,Estimasi!$L$2:$L$1000,0)),""))</f>
        <v/>
      </c>
      <c r="E938" s="32"/>
      <c r="F938" s="32" t="str">
        <f t="shared" si="4"/>
        <v/>
      </c>
      <c r="G938" s="11" t="str">
        <f t="shared" si="5"/>
        <v/>
      </c>
    </row>
    <row r="939" ht="15.75" customHeight="1">
      <c r="A939" s="52"/>
      <c r="B939" s="11"/>
      <c r="C939" s="11" t="str">
        <f t="array" ref="C939">IF($B939="","",IFERROR(INDEX(Estimasi!$I$2:$I$1000,MATCH($B939,Estimasi!$H$2:$H$1000,0)),""))</f>
        <v/>
      </c>
      <c r="D939" s="32" t="str">
        <f t="array" ref="D939">IF($C939="","",IFERROR(INDEX(Estimasi!$M$2:$M$1000,MATCH($C939,Estimasi!$L$2:$L$1000,0)),""))</f>
        <v/>
      </c>
      <c r="E939" s="32"/>
      <c r="F939" s="32" t="str">
        <f t="shared" si="4"/>
        <v/>
      </c>
      <c r="G939" s="11" t="str">
        <f t="shared" si="5"/>
        <v/>
      </c>
    </row>
    <row r="940" ht="15.75" customHeight="1">
      <c r="A940" s="52"/>
      <c r="B940" s="11"/>
      <c r="C940" s="11" t="str">
        <f t="array" ref="C940">IF($B940="","",IFERROR(INDEX(Estimasi!$I$2:$I$1000,MATCH($B940,Estimasi!$H$2:$H$1000,0)),""))</f>
        <v/>
      </c>
      <c r="D940" s="32" t="str">
        <f t="array" ref="D940">IF($C940="","",IFERROR(INDEX(Estimasi!$M$2:$M$1000,MATCH($C940,Estimasi!$L$2:$L$1000,0)),""))</f>
        <v/>
      </c>
      <c r="E940" s="32"/>
      <c r="F940" s="32" t="str">
        <f t="shared" si="4"/>
        <v/>
      </c>
      <c r="G940" s="11" t="str">
        <f t="shared" si="5"/>
        <v/>
      </c>
    </row>
    <row r="941" ht="15.75" customHeight="1">
      <c r="A941" s="52"/>
      <c r="B941" s="11"/>
      <c r="C941" s="11" t="str">
        <f t="array" ref="C941">IF($B941="","",IFERROR(INDEX(Estimasi!$I$2:$I$1000,MATCH($B941,Estimasi!$H$2:$H$1000,0)),""))</f>
        <v/>
      </c>
      <c r="D941" s="32" t="str">
        <f t="array" ref="D941">IF($C941="","",IFERROR(INDEX(Estimasi!$M$2:$M$1000,MATCH($C941,Estimasi!$L$2:$L$1000,0)),""))</f>
        <v/>
      </c>
      <c r="E941" s="32"/>
      <c r="F941" s="32" t="str">
        <f t="shared" si="4"/>
        <v/>
      </c>
      <c r="G941" s="11" t="str">
        <f t="shared" si="5"/>
        <v/>
      </c>
    </row>
    <row r="942" ht="15.75" customHeight="1">
      <c r="A942" s="52"/>
      <c r="B942" s="11"/>
      <c r="C942" s="11" t="str">
        <f t="array" ref="C942">IF($B942="","",IFERROR(INDEX(Estimasi!$I$2:$I$1000,MATCH($B942,Estimasi!$H$2:$H$1000,0)),""))</f>
        <v/>
      </c>
      <c r="D942" s="32" t="str">
        <f t="array" ref="D942">IF($C942="","",IFERROR(INDEX(Estimasi!$M$2:$M$1000,MATCH($C942,Estimasi!$L$2:$L$1000,0)),""))</f>
        <v/>
      </c>
      <c r="E942" s="32"/>
      <c r="F942" s="32" t="str">
        <f t="shared" si="4"/>
        <v/>
      </c>
      <c r="G942" s="11" t="str">
        <f t="shared" si="5"/>
        <v/>
      </c>
    </row>
    <row r="943" ht="15.75" customHeight="1">
      <c r="A943" s="52"/>
      <c r="B943" s="11"/>
      <c r="C943" s="11" t="str">
        <f t="array" ref="C943">IF($B943="","",IFERROR(INDEX(Estimasi!$I$2:$I$1000,MATCH($B943,Estimasi!$H$2:$H$1000,0)),""))</f>
        <v/>
      </c>
      <c r="D943" s="32" t="str">
        <f t="array" ref="D943">IF($C943="","",IFERROR(INDEX(Estimasi!$M$2:$M$1000,MATCH($C943,Estimasi!$L$2:$L$1000,0)),""))</f>
        <v/>
      </c>
      <c r="E943" s="32"/>
      <c r="F943" s="32" t="str">
        <f t="shared" si="4"/>
        <v/>
      </c>
      <c r="G943" s="11" t="str">
        <f t="shared" si="5"/>
        <v/>
      </c>
    </row>
    <row r="944" ht="15.75" customHeight="1">
      <c r="A944" s="52"/>
      <c r="B944" s="11"/>
      <c r="C944" s="11" t="str">
        <f t="array" ref="C944">IF($B944="","",IFERROR(INDEX(Estimasi!$I$2:$I$1000,MATCH($B944,Estimasi!$H$2:$H$1000,0)),""))</f>
        <v/>
      </c>
      <c r="D944" s="32" t="str">
        <f t="array" ref="D944">IF($C944="","",IFERROR(INDEX(Estimasi!$M$2:$M$1000,MATCH($C944,Estimasi!$L$2:$L$1000,0)),""))</f>
        <v/>
      </c>
      <c r="E944" s="32"/>
      <c r="F944" s="32" t="str">
        <f t="shared" si="4"/>
        <v/>
      </c>
      <c r="G944" s="11" t="str">
        <f t="shared" si="5"/>
        <v/>
      </c>
    </row>
    <row r="945" ht="15.75" customHeight="1">
      <c r="A945" s="52"/>
      <c r="B945" s="11"/>
      <c r="C945" s="11" t="str">
        <f t="array" ref="C945">IF($B945="","",IFERROR(INDEX(Estimasi!$I$2:$I$1000,MATCH($B945,Estimasi!$H$2:$H$1000,0)),""))</f>
        <v/>
      </c>
      <c r="D945" s="32" t="str">
        <f t="array" ref="D945">IF($C945="","",IFERROR(INDEX(Estimasi!$M$2:$M$1000,MATCH($C945,Estimasi!$L$2:$L$1000,0)),""))</f>
        <v/>
      </c>
      <c r="E945" s="32"/>
      <c r="F945" s="32" t="str">
        <f t="shared" si="4"/>
        <v/>
      </c>
      <c r="G945" s="11" t="str">
        <f t="shared" si="5"/>
        <v/>
      </c>
    </row>
    <row r="946" ht="15.75" customHeight="1">
      <c r="A946" s="52"/>
      <c r="B946" s="11"/>
      <c r="C946" s="11" t="str">
        <f t="array" ref="C946">IF($B946="","",IFERROR(INDEX(Estimasi!$I$2:$I$1000,MATCH($B946,Estimasi!$H$2:$H$1000,0)),""))</f>
        <v/>
      </c>
      <c r="D946" s="32" t="str">
        <f t="array" ref="D946">IF($C946="","",IFERROR(INDEX(Estimasi!$M$2:$M$1000,MATCH($C946,Estimasi!$L$2:$L$1000,0)),""))</f>
        <v/>
      </c>
      <c r="E946" s="32"/>
      <c r="F946" s="32" t="str">
        <f t="shared" si="4"/>
        <v/>
      </c>
      <c r="G946" s="11" t="str">
        <f t="shared" si="5"/>
        <v/>
      </c>
    </row>
    <row r="947" ht="15.75" customHeight="1">
      <c r="A947" s="52"/>
      <c r="B947" s="11"/>
      <c r="C947" s="11" t="str">
        <f t="array" ref="C947">IF($B947="","",IFERROR(INDEX(Estimasi!$I$2:$I$1000,MATCH($B947,Estimasi!$H$2:$H$1000,0)),""))</f>
        <v/>
      </c>
      <c r="D947" s="32" t="str">
        <f t="array" ref="D947">IF($C947="","",IFERROR(INDEX(Estimasi!$M$2:$M$1000,MATCH($C947,Estimasi!$L$2:$L$1000,0)),""))</f>
        <v/>
      </c>
      <c r="E947" s="32"/>
      <c r="F947" s="32" t="str">
        <f t="shared" si="4"/>
        <v/>
      </c>
      <c r="G947" s="11" t="str">
        <f t="shared" si="5"/>
        <v/>
      </c>
    </row>
    <row r="948" ht="15.75" customHeight="1">
      <c r="A948" s="52"/>
      <c r="B948" s="11"/>
      <c r="C948" s="11" t="str">
        <f t="array" ref="C948">IF($B948="","",IFERROR(INDEX(Estimasi!$I$2:$I$1000,MATCH($B948,Estimasi!$H$2:$H$1000,0)),""))</f>
        <v/>
      </c>
      <c r="D948" s="32" t="str">
        <f t="array" ref="D948">IF($C948="","",IFERROR(INDEX(Estimasi!$M$2:$M$1000,MATCH($C948,Estimasi!$L$2:$L$1000,0)),""))</f>
        <v/>
      </c>
      <c r="E948" s="32"/>
      <c r="F948" s="32" t="str">
        <f t="shared" si="4"/>
        <v/>
      </c>
      <c r="G948" s="11" t="str">
        <f t="shared" si="5"/>
        <v/>
      </c>
    </row>
    <row r="949" ht="15.75" customHeight="1">
      <c r="A949" s="52"/>
      <c r="B949" s="11"/>
      <c r="C949" s="11" t="str">
        <f t="array" ref="C949">IF($B949="","",IFERROR(INDEX(Estimasi!$I$2:$I$1000,MATCH($B949,Estimasi!$H$2:$H$1000,0)),""))</f>
        <v/>
      </c>
      <c r="D949" s="32" t="str">
        <f t="array" ref="D949">IF($C949="","",IFERROR(INDEX(Estimasi!$M$2:$M$1000,MATCH($C949,Estimasi!$L$2:$L$1000,0)),""))</f>
        <v/>
      </c>
      <c r="E949" s="32"/>
      <c r="F949" s="32" t="str">
        <f t="shared" si="4"/>
        <v/>
      </c>
      <c r="G949" s="11" t="str">
        <f t="shared" si="5"/>
        <v/>
      </c>
    </row>
    <row r="950" ht="15.75" customHeight="1">
      <c r="A950" s="52"/>
      <c r="B950" s="11"/>
      <c r="C950" s="11" t="str">
        <f t="array" ref="C950">IF($B950="","",IFERROR(INDEX(Estimasi!$I$2:$I$1000,MATCH($B950,Estimasi!$H$2:$H$1000,0)),""))</f>
        <v/>
      </c>
      <c r="D950" s="32" t="str">
        <f t="array" ref="D950">IF($C950="","",IFERROR(INDEX(Estimasi!$M$2:$M$1000,MATCH($C950,Estimasi!$L$2:$L$1000,0)),""))</f>
        <v/>
      </c>
      <c r="E950" s="32"/>
      <c r="F950" s="32" t="str">
        <f t="shared" si="4"/>
        <v/>
      </c>
      <c r="G950" s="11" t="str">
        <f t="shared" si="5"/>
        <v/>
      </c>
    </row>
    <row r="951" ht="15.75" customHeight="1">
      <c r="A951" s="52"/>
      <c r="B951" s="11"/>
      <c r="C951" s="11" t="str">
        <f t="array" ref="C951">IF($B951="","",IFERROR(INDEX(Estimasi!$I$2:$I$1000,MATCH($B951,Estimasi!$H$2:$H$1000,0)),""))</f>
        <v/>
      </c>
      <c r="D951" s="32" t="str">
        <f t="array" ref="D951">IF($C951="","",IFERROR(INDEX(Estimasi!$M$2:$M$1000,MATCH($C951,Estimasi!$L$2:$L$1000,0)),""))</f>
        <v/>
      </c>
      <c r="E951" s="32"/>
      <c r="F951" s="32" t="str">
        <f t="shared" si="4"/>
        <v/>
      </c>
      <c r="G951" s="11" t="str">
        <f t="shared" si="5"/>
        <v/>
      </c>
    </row>
    <row r="952" ht="15.75" customHeight="1">
      <c r="A952" s="52"/>
      <c r="B952" s="11"/>
      <c r="C952" s="11" t="str">
        <f t="array" ref="C952">IF($B952="","",IFERROR(INDEX(Estimasi!$I$2:$I$1000,MATCH($B952,Estimasi!$H$2:$H$1000,0)),""))</f>
        <v/>
      </c>
      <c r="D952" s="32" t="str">
        <f t="array" ref="D952">IF($C952="","",IFERROR(INDEX(Estimasi!$M$2:$M$1000,MATCH($C952,Estimasi!$L$2:$L$1000,0)),""))</f>
        <v/>
      </c>
      <c r="E952" s="32"/>
      <c r="F952" s="32" t="str">
        <f t="shared" si="4"/>
        <v/>
      </c>
      <c r="G952" s="11" t="str">
        <f t="shared" si="5"/>
        <v/>
      </c>
    </row>
    <row r="953" ht="15.75" customHeight="1">
      <c r="A953" s="52"/>
      <c r="B953" s="11"/>
      <c r="C953" s="11" t="str">
        <f t="array" ref="C953">IF($B953="","",IFERROR(INDEX(Estimasi!$I$2:$I$1000,MATCH($B953,Estimasi!$H$2:$H$1000,0)),""))</f>
        <v/>
      </c>
      <c r="D953" s="32" t="str">
        <f t="array" ref="D953">IF($C953="","",IFERROR(INDEX(Estimasi!$M$2:$M$1000,MATCH($C953,Estimasi!$L$2:$L$1000,0)),""))</f>
        <v/>
      </c>
      <c r="E953" s="32"/>
      <c r="F953" s="32" t="str">
        <f t="shared" si="4"/>
        <v/>
      </c>
      <c r="G953" s="11" t="str">
        <f t="shared" si="5"/>
        <v/>
      </c>
    </row>
    <row r="954" ht="15.75" customHeight="1">
      <c r="A954" s="52"/>
      <c r="B954" s="11"/>
      <c r="C954" s="11" t="str">
        <f t="array" ref="C954">IF($B954="","",IFERROR(INDEX(Estimasi!$I$2:$I$1000,MATCH($B954,Estimasi!$H$2:$H$1000,0)),""))</f>
        <v/>
      </c>
      <c r="D954" s="32" t="str">
        <f t="array" ref="D954">IF($C954="","",IFERROR(INDEX(Estimasi!$M$2:$M$1000,MATCH($C954,Estimasi!$L$2:$L$1000,0)),""))</f>
        <v/>
      </c>
      <c r="E954" s="32"/>
      <c r="F954" s="32" t="str">
        <f t="shared" si="4"/>
        <v/>
      </c>
      <c r="G954" s="11" t="str">
        <f t="shared" si="5"/>
        <v/>
      </c>
    </row>
    <row r="955" ht="15.75" customHeight="1">
      <c r="A955" s="52"/>
      <c r="B955" s="11"/>
      <c r="C955" s="11" t="str">
        <f t="array" ref="C955">IF($B955="","",IFERROR(INDEX(Estimasi!$I$2:$I$1000,MATCH($B955,Estimasi!$H$2:$H$1000,0)),""))</f>
        <v/>
      </c>
      <c r="D955" s="32" t="str">
        <f t="array" ref="D955">IF($C955="","",IFERROR(INDEX(Estimasi!$M$2:$M$1000,MATCH($C955,Estimasi!$L$2:$L$1000,0)),""))</f>
        <v/>
      </c>
      <c r="E955" s="32"/>
      <c r="F955" s="32" t="str">
        <f t="shared" si="4"/>
        <v/>
      </c>
      <c r="G955" s="11" t="str">
        <f t="shared" si="5"/>
        <v/>
      </c>
    </row>
    <row r="956" ht="15.75" customHeight="1">
      <c r="A956" s="52"/>
      <c r="B956" s="11"/>
      <c r="C956" s="11" t="str">
        <f t="array" ref="C956">IF($B956="","",IFERROR(INDEX(Estimasi!$I$2:$I$1000,MATCH($B956,Estimasi!$H$2:$H$1000,0)),""))</f>
        <v/>
      </c>
      <c r="D956" s="32" t="str">
        <f t="array" ref="D956">IF($C956="","",IFERROR(INDEX(Estimasi!$M$2:$M$1000,MATCH($C956,Estimasi!$L$2:$L$1000,0)),""))</f>
        <v/>
      </c>
      <c r="E956" s="32"/>
      <c r="F956" s="32" t="str">
        <f t="shared" si="4"/>
        <v/>
      </c>
      <c r="G956" s="11" t="str">
        <f t="shared" si="5"/>
        <v/>
      </c>
    </row>
    <row r="957" ht="15.75" customHeight="1">
      <c r="A957" s="52"/>
      <c r="B957" s="11"/>
      <c r="C957" s="11" t="str">
        <f t="array" ref="C957">IF($B957="","",IFERROR(INDEX(Estimasi!$I$2:$I$1000,MATCH($B957,Estimasi!$H$2:$H$1000,0)),""))</f>
        <v/>
      </c>
      <c r="D957" s="32" t="str">
        <f t="array" ref="D957">IF($C957="","",IFERROR(INDEX(Estimasi!$M$2:$M$1000,MATCH($C957,Estimasi!$L$2:$L$1000,0)),""))</f>
        <v/>
      </c>
      <c r="E957" s="32"/>
      <c r="F957" s="32" t="str">
        <f t="shared" si="4"/>
        <v/>
      </c>
      <c r="G957" s="11" t="str">
        <f t="shared" si="5"/>
        <v/>
      </c>
    </row>
    <row r="958" ht="15.75" customHeight="1">
      <c r="A958" s="52"/>
      <c r="B958" s="11"/>
      <c r="C958" s="11" t="str">
        <f t="array" ref="C958">IF($B958="","",IFERROR(INDEX(Estimasi!$I$2:$I$1000,MATCH($B958,Estimasi!$H$2:$H$1000,0)),""))</f>
        <v/>
      </c>
      <c r="D958" s="32" t="str">
        <f t="array" ref="D958">IF($C958="","",IFERROR(INDEX(Estimasi!$M$2:$M$1000,MATCH($C958,Estimasi!$L$2:$L$1000,0)),""))</f>
        <v/>
      </c>
      <c r="E958" s="32"/>
      <c r="F958" s="32" t="str">
        <f t="shared" si="4"/>
        <v/>
      </c>
      <c r="G958" s="11" t="str">
        <f t="shared" si="5"/>
        <v/>
      </c>
    </row>
    <row r="959" ht="15.75" customHeight="1">
      <c r="A959" s="52"/>
      <c r="B959" s="11"/>
      <c r="C959" s="11" t="str">
        <f t="array" ref="C959">IF($B959="","",IFERROR(INDEX(Estimasi!$I$2:$I$1000,MATCH($B959,Estimasi!$H$2:$H$1000,0)),""))</f>
        <v/>
      </c>
      <c r="D959" s="32" t="str">
        <f t="array" ref="D959">IF($C959="","",IFERROR(INDEX(Estimasi!$M$2:$M$1000,MATCH($C959,Estimasi!$L$2:$L$1000,0)),""))</f>
        <v/>
      </c>
      <c r="E959" s="32"/>
      <c r="F959" s="32" t="str">
        <f t="shared" si="4"/>
        <v/>
      </c>
      <c r="G959" s="11" t="str">
        <f t="shared" si="5"/>
        <v/>
      </c>
    </row>
    <row r="960" ht="15.75" customHeight="1">
      <c r="A960" s="52"/>
      <c r="B960" s="11"/>
      <c r="C960" s="11" t="str">
        <f t="array" ref="C960">IF($B960="","",IFERROR(INDEX(Estimasi!$I$2:$I$1000,MATCH($B960,Estimasi!$H$2:$H$1000,0)),""))</f>
        <v/>
      </c>
      <c r="D960" s="32" t="str">
        <f t="array" ref="D960">IF($C960="","",IFERROR(INDEX(Estimasi!$M$2:$M$1000,MATCH($C960,Estimasi!$L$2:$L$1000,0)),""))</f>
        <v/>
      </c>
      <c r="E960" s="32"/>
      <c r="F960" s="32" t="str">
        <f t="shared" si="4"/>
        <v/>
      </c>
      <c r="G960" s="11" t="str">
        <f t="shared" si="5"/>
        <v/>
      </c>
    </row>
    <row r="961" ht="15.75" customHeight="1">
      <c r="A961" s="52"/>
      <c r="B961" s="11"/>
      <c r="C961" s="11" t="str">
        <f t="array" ref="C961">IF($B961="","",IFERROR(INDEX(Estimasi!$I$2:$I$1000,MATCH($B961,Estimasi!$H$2:$H$1000,0)),""))</f>
        <v/>
      </c>
      <c r="D961" s="32" t="str">
        <f t="array" ref="D961">IF($C961="","",IFERROR(INDEX(Estimasi!$M$2:$M$1000,MATCH($C961,Estimasi!$L$2:$L$1000,0)),""))</f>
        <v/>
      </c>
      <c r="E961" s="32"/>
      <c r="F961" s="32" t="str">
        <f t="shared" si="4"/>
        <v/>
      </c>
      <c r="G961" s="11" t="str">
        <f t="shared" si="5"/>
        <v/>
      </c>
    </row>
    <row r="962" ht="15.75" customHeight="1">
      <c r="A962" s="52"/>
      <c r="B962" s="11"/>
      <c r="C962" s="11" t="str">
        <f t="array" ref="C962">IF($B962="","",IFERROR(INDEX(Estimasi!$I$2:$I$1000,MATCH($B962,Estimasi!$H$2:$H$1000,0)),""))</f>
        <v/>
      </c>
      <c r="D962" s="32" t="str">
        <f t="array" ref="D962">IF($C962="","",IFERROR(INDEX(Estimasi!$M$2:$M$1000,MATCH($C962,Estimasi!$L$2:$L$1000,0)),""))</f>
        <v/>
      </c>
      <c r="E962" s="32"/>
      <c r="F962" s="32" t="str">
        <f t="shared" si="4"/>
        <v/>
      </c>
      <c r="G962" s="11" t="str">
        <f t="shared" si="5"/>
        <v/>
      </c>
    </row>
    <row r="963" ht="15.75" customHeight="1">
      <c r="A963" s="52"/>
      <c r="B963" s="11"/>
      <c r="C963" s="11" t="str">
        <f t="array" ref="C963">IF($B963="","",IFERROR(INDEX(Estimasi!$I$2:$I$1000,MATCH($B963,Estimasi!$H$2:$H$1000,0)),""))</f>
        <v/>
      </c>
      <c r="D963" s="32" t="str">
        <f t="array" ref="D963">IF($C963="","",IFERROR(INDEX(Estimasi!$M$2:$M$1000,MATCH($C963,Estimasi!$L$2:$L$1000,0)),""))</f>
        <v/>
      </c>
      <c r="E963" s="32"/>
      <c r="F963" s="32" t="str">
        <f t="shared" si="4"/>
        <v/>
      </c>
      <c r="G963" s="11" t="str">
        <f t="shared" si="5"/>
        <v/>
      </c>
    </row>
    <row r="964" ht="15.75" customHeight="1">
      <c r="A964" s="52"/>
      <c r="B964" s="11"/>
      <c r="C964" s="11" t="str">
        <f t="array" ref="C964">IF($B964="","",IFERROR(INDEX(Estimasi!$I$2:$I$1000,MATCH($B964,Estimasi!$H$2:$H$1000,0)),""))</f>
        <v/>
      </c>
      <c r="D964" s="32" t="str">
        <f t="array" ref="D964">IF($C964="","",IFERROR(INDEX(Estimasi!$M$2:$M$1000,MATCH($C964,Estimasi!$L$2:$L$1000,0)),""))</f>
        <v/>
      </c>
      <c r="E964" s="32"/>
      <c r="F964" s="32" t="str">
        <f t="shared" si="4"/>
        <v/>
      </c>
      <c r="G964" s="11" t="str">
        <f t="shared" si="5"/>
        <v/>
      </c>
    </row>
    <row r="965" ht="15.75" customHeight="1">
      <c r="A965" s="52"/>
      <c r="B965" s="11"/>
      <c r="C965" s="11" t="str">
        <f t="array" ref="C965">IF($B965="","",IFERROR(INDEX(Estimasi!$I$2:$I$1000,MATCH($B965,Estimasi!$H$2:$H$1000,0)),""))</f>
        <v/>
      </c>
      <c r="D965" s="32" t="str">
        <f t="array" ref="D965">IF($C965="","",IFERROR(INDEX(Estimasi!$M$2:$M$1000,MATCH($C965,Estimasi!$L$2:$L$1000,0)),""))</f>
        <v/>
      </c>
      <c r="E965" s="32"/>
      <c r="F965" s="32" t="str">
        <f t="shared" si="4"/>
        <v/>
      </c>
      <c r="G965" s="11" t="str">
        <f t="shared" si="5"/>
        <v/>
      </c>
    </row>
    <row r="966" ht="15.75" customHeight="1">
      <c r="A966" s="52"/>
      <c r="B966" s="11"/>
      <c r="C966" s="11" t="str">
        <f t="array" ref="C966">IF($B966="","",IFERROR(INDEX(Estimasi!$I$2:$I$1000,MATCH($B966,Estimasi!$H$2:$H$1000,0)),""))</f>
        <v/>
      </c>
      <c r="D966" s="32" t="str">
        <f t="array" ref="D966">IF($C966="","",IFERROR(INDEX(Estimasi!$M$2:$M$1000,MATCH($C966,Estimasi!$L$2:$L$1000,0)),""))</f>
        <v/>
      </c>
      <c r="E966" s="32"/>
      <c r="F966" s="32" t="str">
        <f t="shared" si="4"/>
        <v/>
      </c>
      <c r="G966" s="11" t="str">
        <f t="shared" si="5"/>
        <v/>
      </c>
    </row>
    <row r="967" ht="15.75" customHeight="1">
      <c r="A967" s="52"/>
      <c r="B967" s="11"/>
      <c r="C967" s="11" t="str">
        <f t="array" ref="C967">IF($B967="","",IFERROR(INDEX(Estimasi!$I$2:$I$1000,MATCH($B967,Estimasi!$H$2:$H$1000,0)),""))</f>
        <v/>
      </c>
      <c r="D967" s="32" t="str">
        <f t="array" ref="D967">IF($C967="","",IFERROR(INDEX(Estimasi!$M$2:$M$1000,MATCH($C967,Estimasi!$L$2:$L$1000,0)),""))</f>
        <v/>
      </c>
      <c r="E967" s="32"/>
      <c r="F967" s="32" t="str">
        <f t="shared" si="4"/>
        <v/>
      </c>
      <c r="G967" s="11" t="str">
        <f t="shared" si="5"/>
        <v/>
      </c>
    </row>
    <row r="968" ht="15.75" customHeight="1">
      <c r="A968" s="52"/>
      <c r="B968" s="11"/>
      <c r="C968" s="11" t="str">
        <f t="array" ref="C968">IF($B968="","",IFERROR(INDEX(Estimasi!$I$2:$I$1000,MATCH($B968,Estimasi!$H$2:$H$1000,0)),""))</f>
        <v/>
      </c>
      <c r="D968" s="32" t="str">
        <f t="array" ref="D968">IF($C968="","",IFERROR(INDEX(Estimasi!$M$2:$M$1000,MATCH($C968,Estimasi!$L$2:$L$1000,0)),""))</f>
        <v/>
      </c>
      <c r="E968" s="32"/>
      <c r="F968" s="32" t="str">
        <f t="shared" si="4"/>
        <v/>
      </c>
      <c r="G968" s="11" t="str">
        <f t="shared" si="5"/>
        <v/>
      </c>
    </row>
    <row r="969" ht="15.75" customHeight="1">
      <c r="A969" s="52"/>
      <c r="B969" s="11"/>
      <c r="C969" s="11" t="str">
        <f t="array" ref="C969">IF($B969="","",IFERROR(INDEX(Estimasi!$I$2:$I$1000,MATCH($B969,Estimasi!$H$2:$H$1000,0)),""))</f>
        <v/>
      </c>
      <c r="D969" s="32" t="str">
        <f t="array" ref="D969">IF($C969="","",IFERROR(INDEX(Estimasi!$M$2:$M$1000,MATCH($C969,Estimasi!$L$2:$L$1000,0)),""))</f>
        <v/>
      </c>
      <c r="E969" s="32"/>
      <c r="F969" s="32" t="str">
        <f t="shared" si="4"/>
        <v/>
      </c>
      <c r="G969" s="11" t="str">
        <f t="shared" si="5"/>
        <v/>
      </c>
    </row>
    <row r="970" ht="15.75" customHeight="1">
      <c r="A970" s="52"/>
      <c r="B970" s="11"/>
      <c r="C970" s="11" t="str">
        <f t="array" ref="C970">IF($B970="","",IFERROR(INDEX(Estimasi!$I$2:$I$1000,MATCH($B970,Estimasi!$H$2:$H$1000,0)),""))</f>
        <v/>
      </c>
      <c r="D970" s="32" t="str">
        <f t="array" ref="D970">IF($C970="","",IFERROR(INDEX(Estimasi!$M$2:$M$1000,MATCH($C970,Estimasi!$L$2:$L$1000,0)),""))</f>
        <v/>
      </c>
      <c r="E970" s="32"/>
      <c r="F970" s="32" t="str">
        <f t="shared" si="4"/>
        <v/>
      </c>
      <c r="G970" s="11" t="str">
        <f t="shared" si="5"/>
        <v/>
      </c>
    </row>
    <row r="971" ht="15.75" customHeight="1">
      <c r="A971" s="52"/>
      <c r="B971" s="11"/>
      <c r="C971" s="11" t="str">
        <f t="array" ref="C971">IF($B971="","",IFERROR(INDEX(Estimasi!$I$2:$I$1000,MATCH($B971,Estimasi!$H$2:$H$1000,0)),""))</f>
        <v/>
      </c>
      <c r="D971" s="32" t="str">
        <f t="array" ref="D971">IF($C971="","",IFERROR(INDEX(Estimasi!$M$2:$M$1000,MATCH($C971,Estimasi!$L$2:$L$1000,0)),""))</f>
        <v/>
      </c>
      <c r="E971" s="32"/>
      <c r="F971" s="32" t="str">
        <f t="shared" si="4"/>
        <v/>
      </c>
      <c r="G971" s="11" t="str">
        <f t="shared" si="5"/>
        <v/>
      </c>
    </row>
    <row r="972" ht="15.75" customHeight="1">
      <c r="A972" s="52"/>
      <c r="B972" s="11"/>
      <c r="C972" s="11" t="str">
        <f t="array" ref="C972">IF($B972="","",IFERROR(INDEX(Estimasi!$I$2:$I$1000,MATCH($B972,Estimasi!$H$2:$H$1000,0)),""))</f>
        <v/>
      </c>
      <c r="D972" s="32" t="str">
        <f t="array" ref="D972">IF($C972="","",IFERROR(INDEX(Estimasi!$M$2:$M$1000,MATCH($C972,Estimasi!$L$2:$L$1000,0)),""))</f>
        <v/>
      </c>
      <c r="E972" s="32"/>
      <c r="F972" s="32" t="str">
        <f t="shared" si="4"/>
        <v/>
      </c>
      <c r="G972" s="11" t="str">
        <f t="shared" si="5"/>
        <v/>
      </c>
    </row>
    <row r="973" ht="15.75" customHeight="1">
      <c r="A973" s="52"/>
      <c r="B973" s="11"/>
      <c r="C973" s="11" t="str">
        <f t="array" ref="C973">IF($B973="","",IFERROR(INDEX(Estimasi!$I$2:$I$1000,MATCH($B973,Estimasi!$H$2:$H$1000,0)),""))</f>
        <v/>
      </c>
      <c r="D973" s="32" t="str">
        <f t="array" ref="D973">IF($C973="","",IFERROR(INDEX(Estimasi!$M$2:$M$1000,MATCH($C973,Estimasi!$L$2:$L$1000,0)),""))</f>
        <v/>
      </c>
      <c r="E973" s="32"/>
      <c r="F973" s="32" t="str">
        <f t="shared" si="4"/>
        <v/>
      </c>
      <c r="G973" s="11" t="str">
        <f t="shared" si="5"/>
        <v/>
      </c>
    </row>
    <row r="974" ht="15.75" customHeight="1">
      <c r="A974" s="52"/>
      <c r="B974" s="11"/>
      <c r="C974" s="11" t="str">
        <f t="array" ref="C974">IF($B974="","",IFERROR(INDEX(Estimasi!$I$2:$I$1000,MATCH($B974,Estimasi!$H$2:$H$1000,0)),""))</f>
        <v/>
      </c>
      <c r="D974" s="32" t="str">
        <f t="array" ref="D974">IF($C974="","",IFERROR(INDEX(Estimasi!$M$2:$M$1000,MATCH($C974,Estimasi!$L$2:$L$1000,0)),""))</f>
        <v/>
      </c>
      <c r="E974" s="32"/>
      <c r="F974" s="32" t="str">
        <f t="shared" si="4"/>
        <v/>
      </c>
      <c r="G974" s="11" t="str">
        <f t="shared" si="5"/>
        <v/>
      </c>
    </row>
    <row r="975" ht="15.75" customHeight="1">
      <c r="A975" s="52"/>
      <c r="B975" s="11"/>
      <c r="C975" s="11" t="str">
        <f t="array" ref="C975">IF($B975="","",IFERROR(INDEX(Estimasi!$I$2:$I$1000,MATCH($B975,Estimasi!$H$2:$H$1000,0)),""))</f>
        <v/>
      </c>
      <c r="D975" s="32" t="str">
        <f t="array" ref="D975">IF($C975="","",IFERROR(INDEX(Estimasi!$M$2:$M$1000,MATCH($C975,Estimasi!$L$2:$L$1000,0)),""))</f>
        <v/>
      </c>
      <c r="E975" s="32"/>
      <c r="F975" s="32" t="str">
        <f t="shared" si="4"/>
        <v/>
      </c>
      <c r="G975" s="11" t="str">
        <f t="shared" si="5"/>
        <v/>
      </c>
    </row>
    <row r="976" ht="15.75" customHeight="1">
      <c r="A976" s="52"/>
      <c r="B976" s="11"/>
      <c r="C976" s="11" t="str">
        <f t="array" ref="C976">IF($B976="","",IFERROR(INDEX(Estimasi!$I$2:$I$1000,MATCH($B976,Estimasi!$H$2:$H$1000,0)),""))</f>
        <v/>
      </c>
      <c r="D976" s="32" t="str">
        <f t="array" ref="D976">IF($C976="","",IFERROR(INDEX(Estimasi!$M$2:$M$1000,MATCH($C976,Estimasi!$L$2:$L$1000,0)),""))</f>
        <v/>
      </c>
      <c r="E976" s="32"/>
      <c r="F976" s="32" t="str">
        <f t="shared" si="4"/>
        <v/>
      </c>
      <c r="G976" s="11" t="str">
        <f t="shared" si="5"/>
        <v/>
      </c>
    </row>
    <row r="977" ht="15.75" customHeight="1">
      <c r="A977" s="52"/>
      <c r="B977" s="11"/>
      <c r="C977" s="11" t="str">
        <f t="array" ref="C977">IF($B977="","",IFERROR(INDEX(Estimasi!$I$2:$I$1000,MATCH($B977,Estimasi!$H$2:$H$1000,0)),""))</f>
        <v/>
      </c>
      <c r="D977" s="32" t="str">
        <f t="array" ref="D977">IF($C977="","",IFERROR(INDEX(Estimasi!$M$2:$M$1000,MATCH($C977,Estimasi!$L$2:$L$1000,0)),""))</f>
        <v/>
      </c>
      <c r="E977" s="32"/>
      <c r="F977" s="32" t="str">
        <f t="shared" si="4"/>
        <v/>
      </c>
      <c r="G977" s="11" t="str">
        <f t="shared" si="5"/>
        <v/>
      </c>
    </row>
    <row r="978" ht="15.75" customHeight="1">
      <c r="A978" s="52"/>
      <c r="B978" s="11"/>
      <c r="C978" s="11" t="str">
        <f t="array" ref="C978">IF($B978="","",IFERROR(INDEX(Estimasi!$I$2:$I$1000,MATCH($B978,Estimasi!$H$2:$H$1000,0)),""))</f>
        <v/>
      </c>
      <c r="D978" s="32" t="str">
        <f t="array" ref="D978">IF($C978="","",IFERROR(INDEX(Estimasi!$M$2:$M$1000,MATCH($C978,Estimasi!$L$2:$L$1000,0)),""))</f>
        <v/>
      </c>
      <c r="E978" s="32"/>
      <c r="F978" s="32" t="str">
        <f t="shared" si="4"/>
        <v/>
      </c>
      <c r="G978" s="11" t="str">
        <f t="shared" si="5"/>
        <v/>
      </c>
    </row>
    <row r="979" ht="15.75" customHeight="1">
      <c r="A979" s="52"/>
      <c r="B979" s="11"/>
      <c r="C979" s="11" t="str">
        <f t="array" ref="C979">IF($B979="","",IFERROR(INDEX(Estimasi!$I$2:$I$1000,MATCH($B979,Estimasi!$H$2:$H$1000,0)),""))</f>
        <v/>
      </c>
      <c r="D979" s="32" t="str">
        <f t="array" ref="D979">IF($C979="","",IFERROR(INDEX(Estimasi!$M$2:$M$1000,MATCH($C979,Estimasi!$L$2:$L$1000,0)),""))</f>
        <v/>
      </c>
      <c r="E979" s="32"/>
      <c r="F979" s="32" t="str">
        <f t="shared" si="4"/>
        <v/>
      </c>
      <c r="G979" s="11" t="str">
        <f t="shared" si="5"/>
        <v/>
      </c>
    </row>
    <row r="980" ht="15.75" customHeight="1">
      <c r="A980" s="52"/>
      <c r="B980" s="11"/>
      <c r="C980" s="11" t="str">
        <f t="array" ref="C980">IF($B980="","",IFERROR(INDEX(Estimasi!$I$2:$I$1000,MATCH($B980,Estimasi!$H$2:$H$1000,0)),""))</f>
        <v/>
      </c>
      <c r="D980" s="32" t="str">
        <f t="array" ref="D980">IF($C980="","",IFERROR(INDEX(Estimasi!$M$2:$M$1000,MATCH($C980,Estimasi!$L$2:$L$1000,0)),""))</f>
        <v/>
      </c>
      <c r="E980" s="32"/>
      <c r="F980" s="32" t="str">
        <f t="shared" si="4"/>
        <v/>
      </c>
      <c r="G980" s="11" t="str">
        <f t="shared" si="5"/>
        <v/>
      </c>
    </row>
    <row r="981" ht="15.75" customHeight="1">
      <c r="A981" s="52"/>
      <c r="B981" s="11"/>
      <c r="C981" s="11" t="str">
        <f t="array" ref="C981">IF($B981="","",IFERROR(INDEX(Estimasi!$I$2:$I$1000,MATCH($B981,Estimasi!$H$2:$H$1000,0)),""))</f>
        <v/>
      </c>
      <c r="D981" s="32" t="str">
        <f t="array" ref="D981">IF($C981="","",IFERROR(INDEX(Estimasi!$M$2:$M$1000,MATCH($C981,Estimasi!$L$2:$L$1000,0)),""))</f>
        <v/>
      </c>
      <c r="E981" s="32"/>
      <c r="F981" s="32" t="str">
        <f t="shared" si="4"/>
        <v/>
      </c>
      <c r="G981" s="11" t="str">
        <f t="shared" si="5"/>
        <v/>
      </c>
    </row>
    <row r="982" ht="15.75" customHeight="1">
      <c r="A982" s="52"/>
      <c r="B982" s="11"/>
      <c r="C982" s="11" t="str">
        <f t="array" ref="C982">IF($B982="","",IFERROR(INDEX(Estimasi!$I$2:$I$1000,MATCH($B982,Estimasi!$H$2:$H$1000,0)),""))</f>
        <v/>
      </c>
      <c r="D982" s="32" t="str">
        <f t="array" ref="D982">IF($C982="","",IFERROR(INDEX(Estimasi!$M$2:$M$1000,MATCH($C982,Estimasi!$L$2:$L$1000,0)),""))</f>
        <v/>
      </c>
      <c r="E982" s="32"/>
      <c r="F982" s="32" t="str">
        <f t="shared" si="4"/>
        <v/>
      </c>
      <c r="G982" s="11" t="str">
        <f t="shared" si="5"/>
        <v/>
      </c>
    </row>
    <row r="983" ht="15.75" customHeight="1">
      <c r="A983" s="52"/>
      <c r="B983" s="11"/>
      <c r="C983" s="11" t="str">
        <f t="array" ref="C983">IF($B983="","",IFERROR(INDEX(Estimasi!$I$2:$I$1000,MATCH($B983,Estimasi!$H$2:$H$1000,0)),""))</f>
        <v/>
      </c>
      <c r="D983" s="32" t="str">
        <f t="array" ref="D983">IF($C983="","",IFERROR(INDEX(Estimasi!$M$2:$M$1000,MATCH($C983,Estimasi!$L$2:$L$1000,0)),""))</f>
        <v/>
      </c>
      <c r="E983" s="32"/>
      <c r="F983" s="32" t="str">
        <f t="shared" si="4"/>
        <v/>
      </c>
      <c r="G983" s="11" t="str">
        <f t="shared" si="5"/>
        <v/>
      </c>
    </row>
    <row r="984" ht="15.75" customHeight="1">
      <c r="A984" s="52"/>
      <c r="B984" s="11"/>
      <c r="C984" s="11" t="str">
        <f t="array" ref="C984">IF($B984="","",IFERROR(INDEX(Estimasi!$I$2:$I$1000,MATCH($B984,Estimasi!$H$2:$H$1000,0)),""))</f>
        <v/>
      </c>
      <c r="D984" s="32" t="str">
        <f t="array" ref="D984">IF($C984="","",IFERROR(INDEX(Estimasi!$M$2:$M$1000,MATCH($C984,Estimasi!$L$2:$L$1000,0)),""))</f>
        <v/>
      </c>
      <c r="E984" s="32"/>
      <c r="F984" s="32" t="str">
        <f t="shared" si="4"/>
        <v/>
      </c>
      <c r="G984" s="11" t="str">
        <f t="shared" si="5"/>
        <v/>
      </c>
    </row>
    <row r="985" ht="15.75" customHeight="1">
      <c r="A985" s="52"/>
      <c r="B985" s="11"/>
      <c r="C985" s="11" t="str">
        <f t="array" ref="C985">IF($B985="","",IFERROR(INDEX(Estimasi!$I$2:$I$1000,MATCH($B985,Estimasi!$H$2:$H$1000,0)),""))</f>
        <v/>
      </c>
      <c r="D985" s="32" t="str">
        <f t="array" ref="D985">IF($C985="","",IFERROR(INDEX(Estimasi!$M$2:$M$1000,MATCH($C985,Estimasi!$L$2:$L$1000,0)),""))</f>
        <v/>
      </c>
      <c r="E985" s="32"/>
      <c r="F985" s="32" t="str">
        <f t="shared" si="4"/>
        <v/>
      </c>
      <c r="G985" s="11" t="str">
        <f t="shared" si="5"/>
        <v/>
      </c>
    </row>
    <row r="986" ht="15.75" customHeight="1">
      <c r="A986" s="52"/>
      <c r="B986" s="11"/>
      <c r="C986" s="11" t="str">
        <f t="array" ref="C986">IF($B986="","",IFERROR(INDEX(Estimasi!$I$2:$I$1000,MATCH($B986,Estimasi!$H$2:$H$1000,0)),""))</f>
        <v/>
      </c>
      <c r="D986" s="32" t="str">
        <f t="array" ref="D986">IF($C986="","",IFERROR(INDEX(Estimasi!$M$2:$M$1000,MATCH($C986,Estimasi!$L$2:$L$1000,0)),""))</f>
        <v/>
      </c>
      <c r="E986" s="32"/>
      <c r="F986" s="32" t="str">
        <f t="shared" si="4"/>
        <v/>
      </c>
      <c r="G986" s="11" t="str">
        <f t="shared" si="5"/>
        <v/>
      </c>
    </row>
    <row r="987" ht="15.75" customHeight="1">
      <c r="A987" s="52"/>
      <c r="B987" s="11"/>
      <c r="C987" s="11" t="str">
        <f t="array" ref="C987">IF($B987="","",IFERROR(INDEX(Estimasi!$I$2:$I$1000,MATCH($B987,Estimasi!$H$2:$H$1000,0)),""))</f>
        <v/>
      </c>
      <c r="D987" s="32" t="str">
        <f t="array" ref="D987">IF($C987="","",IFERROR(INDEX(Estimasi!$M$2:$M$1000,MATCH($C987,Estimasi!$L$2:$L$1000,0)),""))</f>
        <v/>
      </c>
      <c r="E987" s="32"/>
      <c r="F987" s="32" t="str">
        <f t="shared" si="4"/>
        <v/>
      </c>
      <c r="G987" s="11" t="str">
        <f t="shared" si="5"/>
        <v/>
      </c>
    </row>
    <row r="988" ht="15.75" customHeight="1">
      <c r="A988" s="52"/>
      <c r="B988" s="11"/>
      <c r="C988" s="11" t="str">
        <f t="array" ref="C988">IF($B988="","",IFERROR(INDEX(Estimasi!$I$2:$I$1000,MATCH($B988,Estimasi!$H$2:$H$1000,0)),""))</f>
        <v/>
      </c>
      <c r="D988" s="32" t="str">
        <f t="array" ref="D988">IF($C988="","",IFERROR(INDEX(Estimasi!$M$2:$M$1000,MATCH($C988,Estimasi!$L$2:$L$1000,0)),""))</f>
        <v/>
      </c>
      <c r="E988" s="32"/>
      <c r="F988" s="32" t="str">
        <f t="shared" si="4"/>
        <v/>
      </c>
      <c r="G988" s="11" t="str">
        <f t="shared" si="5"/>
        <v/>
      </c>
    </row>
    <row r="989" ht="15.75" customHeight="1">
      <c r="A989" s="52"/>
      <c r="B989" s="11"/>
      <c r="C989" s="11" t="str">
        <f t="array" ref="C989">IF($B989="","",IFERROR(INDEX(Estimasi!$I$2:$I$1000,MATCH($B989,Estimasi!$H$2:$H$1000,0)),""))</f>
        <v/>
      </c>
      <c r="D989" s="32" t="str">
        <f t="array" ref="D989">IF($C989="","",IFERROR(INDEX(Estimasi!$M$2:$M$1000,MATCH($C989,Estimasi!$L$2:$L$1000,0)),""))</f>
        <v/>
      </c>
      <c r="E989" s="32"/>
      <c r="F989" s="32" t="str">
        <f t="shared" si="4"/>
        <v/>
      </c>
      <c r="G989" s="11" t="str">
        <f t="shared" si="5"/>
        <v/>
      </c>
    </row>
    <row r="990" ht="15.75" customHeight="1">
      <c r="A990" s="52"/>
      <c r="B990" s="11"/>
      <c r="C990" s="11" t="str">
        <f t="array" ref="C990">IF($B990="","",IFERROR(INDEX(Estimasi!$I$2:$I$1000,MATCH($B990,Estimasi!$H$2:$H$1000,0)),""))</f>
        <v/>
      </c>
      <c r="D990" s="32" t="str">
        <f t="array" ref="D990">IF($C990="","",IFERROR(INDEX(Estimasi!$M$2:$M$1000,MATCH($C990,Estimasi!$L$2:$L$1000,0)),""))</f>
        <v/>
      </c>
      <c r="E990" s="32"/>
      <c r="F990" s="32" t="str">
        <f t="shared" si="4"/>
        <v/>
      </c>
      <c r="G990" s="11" t="str">
        <f t="shared" si="5"/>
        <v/>
      </c>
    </row>
    <row r="991" ht="15.75" customHeight="1">
      <c r="A991" s="52"/>
      <c r="B991" s="11"/>
      <c r="C991" s="11" t="str">
        <f t="array" ref="C991">IF($B991="","",IFERROR(INDEX(Estimasi!$I$2:$I$1000,MATCH($B991,Estimasi!$H$2:$H$1000,0)),""))</f>
        <v/>
      </c>
      <c r="D991" s="32" t="str">
        <f t="array" ref="D991">IF($C991="","",IFERROR(INDEX(Estimasi!$M$2:$M$1000,MATCH($C991,Estimasi!$L$2:$L$1000,0)),""))</f>
        <v/>
      </c>
      <c r="E991" s="32"/>
      <c r="F991" s="32" t="str">
        <f t="shared" si="4"/>
        <v/>
      </c>
      <c r="G991" s="11" t="str">
        <f t="shared" si="5"/>
        <v/>
      </c>
    </row>
    <row r="992" ht="15.75" customHeight="1">
      <c r="A992" s="52"/>
      <c r="B992" s="11"/>
      <c r="C992" s="11" t="str">
        <f t="array" ref="C992">IF($B992="","",IFERROR(INDEX(Estimasi!$I$2:$I$1000,MATCH($B992,Estimasi!$H$2:$H$1000,0)),""))</f>
        <v/>
      </c>
      <c r="D992" s="32" t="str">
        <f t="array" ref="D992">IF($C992="","",IFERROR(INDEX(Estimasi!$M$2:$M$1000,MATCH($C992,Estimasi!$L$2:$L$1000,0)),""))</f>
        <v/>
      </c>
      <c r="E992" s="32"/>
      <c r="F992" s="32" t="str">
        <f t="shared" si="4"/>
        <v/>
      </c>
      <c r="G992" s="11" t="str">
        <f t="shared" si="5"/>
        <v/>
      </c>
    </row>
    <row r="993" ht="15.75" customHeight="1">
      <c r="A993" s="52"/>
      <c r="B993" s="11"/>
      <c r="C993" s="11" t="str">
        <f t="array" ref="C993">IF($B993="","",IFERROR(INDEX(Estimasi!$I$2:$I$1000,MATCH($B993,Estimasi!$H$2:$H$1000,0)),""))</f>
        <v/>
      </c>
      <c r="D993" s="32" t="str">
        <f t="array" ref="D993">IF($C993="","",IFERROR(INDEX(Estimasi!$M$2:$M$1000,MATCH($C993,Estimasi!$L$2:$L$1000,0)),""))</f>
        <v/>
      </c>
      <c r="E993" s="32"/>
      <c r="F993" s="32" t="str">
        <f t="shared" si="4"/>
        <v/>
      </c>
      <c r="G993" s="11" t="str">
        <f t="shared" si="5"/>
        <v/>
      </c>
    </row>
    <row r="994" ht="15.75" customHeight="1">
      <c r="A994" s="52"/>
      <c r="B994" s="11"/>
      <c r="C994" s="11" t="str">
        <f t="array" ref="C994">IF($B994="","",IFERROR(INDEX(Estimasi!$I$2:$I$1000,MATCH($B994,Estimasi!$H$2:$H$1000,0)),""))</f>
        <v/>
      </c>
      <c r="D994" s="32" t="str">
        <f t="array" ref="D994">IF($C994="","",IFERROR(INDEX(Estimasi!$M$2:$M$1000,MATCH($C994,Estimasi!$L$2:$L$1000,0)),""))</f>
        <v/>
      </c>
      <c r="E994" s="32"/>
      <c r="F994" s="32" t="str">
        <f t="shared" si="4"/>
        <v/>
      </c>
      <c r="G994" s="11" t="str">
        <f t="shared" si="5"/>
        <v/>
      </c>
    </row>
    <row r="995" ht="15.75" customHeight="1">
      <c r="A995" s="52"/>
      <c r="B995" s="11"/>
      <c r="C995" s="11" t="str">
        <f t="array" ref="C995">IF($B995="","",IFERROR(INDEX(Estimasi!$I$2:$I$1000,MATCH($B995,Estimasi!$H$2:$H$1000,0)),""))</f>
        <v/>
      </c>
      <c r="D995" s="32" t="str">
        <f t="array" ref="D995">IF($C995="","",IFERROR(INDEX(Estimasi!$M$2:$M$1000,MATCH($C995,Estimasi!$L$2:$L$1000,0)),""))</f>
        <v/>
      </c>
      <c r="E995" s="32"/>
      <c r="F995" s="32" t="str">
        <f t="shared" si="4"/>
        <v/>
      </c>
      <c r="G995" s="11" t="str">
        <f t="shared" si="5"/>
        <v/>
      </c>
    </row>
    <row r="996" ht="15.75" customHeight="1">
      <c r="A996" s="52"/>
      <c r="B996" s="11"/>
      <c r="C996" s="11" t="str">
        <f t="array" ref="C996">IF($B996="","",IFERROR(INDEX(Estimasi!$I$2:$I$1000,MATCH($B996,Estimasi!$H$2:$H$1000,0)),""))</f>
        <v/>
      </c>
      <c r="D996" s="32" t="str">
        <f t="array" ref="D996">IF($C996="","",IFERROR(INDEX(Estimasi!$M$2:$M$1000,MATCH($C996,Estimasi!$L$2:$L$1000,0)),""))</f>
        <v/>
      </c>
      <c r="E996" s="32"/>
      <c r="F996" s="32" t="str">
        <f t="shared" si="4"/>
        <v/>
      </c>
      <c r="G996" s="11" t="str">
        <f t="shared" si="5"/>
        <v/>
      </c>
    </row>
    <row r="997" ht="15.75" customHeight="1">
      <c r="A997" s="52"/>
      <c r="B997" s="11"/>
      <c r="C997" s="11" t="str">
        <f t="array" ref="C997">IF($B997="","",IFERROR(INDEX(Estimasi!$I$2:$I$1000,MATCH($B997,Estimasi!$H$2:$H$1000,0)),""))</f>
        <v/>
      </c>
      <c r="D997" s="32" t="str">
        <f t="array" ref="D997">IF($C997="","",IFERROR(INDEX(Estimasi!$M$2:$M$1000,MATCH($C997,Estimasi!$L$2:$L$1000,0)),""))</f>
        <v/>
      </c>
      <c r="E997" s="32"/>
      <c r="F997" s="32" t="str">
        <f t="shared" si="4"/>
        <v/>
      </c>
      <c r="G997" s="11" t="str">
        <f t="shared" si="5"/>
        <v/>
      </c>
    </row>
    <row r="998" ht="15.75" customHeight="1">
      <c r="A998" s="52"/>
      <c r="B998" s="11"/>
      <c r="C998" s="11" t="str">
        <f t="array" ref="C998">IF($B998="","",IFERROR(INDEX(Estimasi!$I$2:$I$1000,MATCH($B998,Estimasi!$H$2:$H$1000,0)),""))</f>
        <v/>
      </c>
      <c r="D998" s="32" t="str">
        <f t="array" ref="D998">IF($C998="","",IFERROR(INDEX(Estimasi!$M$2:$M$1000,MATCH($C998,Estimasi!$L$2:$L$1000,0)),""))</f>
        <v/>
      </c>
      <c r="E998" s="32"/>
      <c r="F998" s="32" t="str">
        <f t="shared" si="4"/>
        <v/>
      </c>
      <c r="G998" s="11" t="str">
        <f t="shared" si="5"/>
        <v/>
      </c>
    </row>
    <row r="999" ht="15.75" customHeight="1">
      <c r="A999" s="52"/>
      <c r="B999" s="11"/>
      <c r="C999" s="11" t="str">
        <f t="array" ref="C999">IF($B999="","",IFERROR(INDEX(Estimasi!$I$2:$I$1000,MATCH($B999,Estimasi!$H$2:$H$1000,0)),""))</f>
        <v/>
      </c>
      <c r="D999" s="32" t="str">
        <f t="array" ref="D999">IF($C999="","",IFERROR(INDEX(Estimasi!$M$2:$M$1000,MATCH($C999,Estimasi!$L$2:$L$1000,0)),""))</f>
        <v/>
      </c>
      <c r="E999" s="32"/>
      <c r="F999" s="32" t="str">
        <f t="shared" si="4"/>
        <v/>
      </c>
      <c r="G999" s="11" t="str">
        <f t="shared" si="5"/>
        <v/>
      </c>
    </row>
    <row r="1000" ht="15.75" customHeight="1">
      <c r="A1000" s="52"/>
      <c r="B1000" s="11"/>
      <c r="C1000" s="11" t="str">
        <f t="array" ref="C1000">IF($B1000="","",IFERROR(INDEX(Estimasi!$I$2:$I$1000,MATCH($B1000,Estimasi!$H$2:$H$1000,0)),""))</f>
        <v/>
      </c>
      <c r="D1000" s="32" t="str">
        <f t="array" ref="D1000">IF($C1000="","",IFERROR(INDEX(Estimasi!$M$2:$M$1000,MATCH($C1000,Estimasi!$L$2:$L$1000,0)),""))</f>
        <v/>
      </c>
      <c r="E1000" s="32"/>
      <c r="F1000" s="32" t="str">
        <f t="shared" si="4"/>
        <v/>
      </c>
      <c r="G1000" s="11" t="str">
        <f t="shared" si="5"/>
        <v/>
      </c>
    </row>
    <row r="1001" ht="15.75" customHeight="1">
      <c r="A1001" s="52"/>
      <c r="B1001" s="11"/>
      <c r="C1001" s="11" t="str">
        <f t="array" ref="C1001">IF($B1001="","",IFERROR(INDEX(Estimasi!$I$2:$I$1000,MATCH($B1001,Estimasi!$H$2:$H$1000,0)),""))</f>
        <v/>
      </c>
      <c r="D1001" s="32" t="str">
        <f t="array" ref="D1001">IF($C1001="","",IFERROR(INDEX(Estimasi!$M$2:$M$1000,MATCH($C1001,Estimasi!$L$2:$L$1000,0)),""))</f>
        <v/>
      </c>
      <c r="E1001" s="32"/>
      <c r="F1001" s="32" t="str">
        <f t="shared" si="4"/>
        <v/>
      </c>
      <c r="G1001" s="11" t="str">
        <f t="shared" si="5"/>
        <v/>
      </c>
    </row>
  </sheetData>
  <conditionalFormatting sqref="G2:G1001">
    <cfRule type="cellIs" dxfId="5" priority="1" operator="equal">
      <formula>"Aman"</formula>
    </cfRule>
  </conditionalFormatting>
  <conditionalFormatting sqref="G2:G1001">
    <cfRule type="cellIs" dxfId="6" priority="2" operator="equal">
      <formula>"Mendekati Batas"</formula>
    </cfRule>
  </conditionalFormatting>
  <conditionalFormatting sqref="G2:G1001">
    <cfRule type="cellIs" dxfId="7" priority="3" operator="equal">
      <formula>"Over Budget"</formula>
    </cfRule>
  </conditionalFormatting>
  <dataValidations>
    <dataValidation type="custom" allowBlank="1" showDropDown="1" sqref="A2:A101">
      <formula1>OR(NOT(ISERROR(DATEVALUE(A2))), AND(ISNUMBER(A2), LEFT(CELL("format", A2))="D"))</formula1>
    </dataValidation>
    <dataValidation type="list" allowBlank="1" showErrorMessage="1" sqref="B2:B64">
      <formula1>Estimasi!$H$2:$H1000</formula1>
    </dataValidation>
    <dataValidation type="list" allowBlank="1" showErrorMessage="1" sqref="B65:B1001">
      <formula1>Estimasi!$H$2:$H1062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